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ahan\Desktop\Other\Projects\Astrans Global DMS\resources\"/>
    </mc:Choice>
  </mc:AlternateContent>
  <xr:revisionPtr revIDLastSave="0" documentId="13_ncr:1_{2F12020B-E8E7-471A-907B-774F1A565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00" sheetId="1" r:id="rId1"/>
  </sheets>
  <definedNames>
    <definedName name="_xlnm.Print_Area" localSheetId="0">'0000'!$A$1:$X$54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1" l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22" i="1"/>
  <c r="X22" i="1" s="1"/>
  <c r="X31" i="1" s="1"/>
  <c r="V23" i="1"/>
  <c r="X23" i="1" s="1"/>
  <c r="X32" i="1" l="1"/>
  <c r="X33" i="1" s="1"/>
  <c r="X35" i="1" l="1"/>
  <c r="X34" i="1"/>
</calcChain>
</file>

<file path=xl/sharedStrings.xml><?xml version="1.0" encoding="utf-8"?>
<sst xmlns="http://schemas.openxmlformats.org/spreadsheetml/2006/main" count="96" uniqueCount="64">
  <si>
    <t>TAX INVOICE</t>
  </si>
  <si>
    <t>Date of Invoice                   :</t>
  </si>
  <si>
    <t>Reference</t>
  </si>
  <si>
    <t xml:space="preserve"> Description of Goods or Services</t>
  </si>
  <si>
    <t>Quantity</t>
  </si>
  <si>
    <t>Unit Price</t>
  </si>
  <si>
    <t>Amount  Excluding VAT (Rs.)</t>
  </si>
  <si>
    <t>Sub Total (Rs.)</t>
  </si>
  <si>
    <t>Total Value of Supply</t>
  </si>
  <si>
    <t>VAT Amount (Total Value of Supply @18%)</t>
  </si>
  <si>
    <t>Total Amount/consideration including VAT</t>
  </si>
  <si>
    <t>Mode of Payment                   :</t>
  </si>
  <si>
    <t>Notes</t>
  </si>
  <si>
    <t>YYMMM_ASTRANSQQ_XXXXX</t>
  </si>
  <si>
    <t>[MUST BE 9 DIGITS]</t>
  </si>
  <si>
    <t>MM/ DD / YYYY</t>
  </si>
  <si>
    <t>MM / DD / YYYY [SAME AS DATE OF INVOICE]</t>
  </si>
  <si>
    <t>[WAREHOUSE NAME]</t>
  </si>
  <si>
    <t>[CUSTOMER COMPANY NAME]</t>
  </si>
  <si>
    <t>[IF HAVE , PHONE NUMBER 1]</t>
  </si>
  <si>
    <t>[COMPANY PHONE NUMBER]</t>
  </si>
  <si>
    <t>MM / DD / YYYY [45 DAYS FROM INVOICE DATE]</t>
  </si>
  <si>
    <t>Discount %</t>
  </si>
  <si>
    <t>[COMPANY TIN NUMBER]</t>
  </si>
  <si>
    <t>[COMPANY NAME]</t>
  </si>
  <si>
    <t>[COMPANY ADDRESS LINE 1]</t>
  </si>
  <si>
    <t>[COMPANY ADDRESS LINE 2]</t>
  </si>
  <si>
    <t>[COMPANY ADDRESS LINE 3]</t>
  </si>
  <si>
    <t>[CUSTOMER ADDRESS LINE 1]</t>
  </si>
  <si>
    <t>[CUSTOMER ADDRESS LINE 2]</t>
  </si>
  <si>
    <t>[CUSTOMER ADDRESS LINE 3]</t>
  </si>
  <si>
    <t>[DISCOUNT %]</t>
  </si>
  <si>
    <t>[CASH/CREDIT]</t>
  </si>
  <si>
    <t>[ITEM CODE]</t>
  </si>
  <si>
    <t>[ITEM DESCRIPTION]</t>
  </si>
  <si>
    <t>[QUANTITY]</t>
  </si>
  <si>
    <t xml:space="preserve"> F. Unit Price</t>
  </si>
  <si>
    <t>Above items received in good condition</t>
  </si>
  <si>
    <t>Dealer Signature and Rubber Stamp</t>
  </si>
  <si>
    <t>Approved By</t>
  </si>
  <si>
    <t xml:space="preserve">Bank Details: </t>
  </si>
  <si>
    <t>Astrans Global Pvt Ltd / Acc. No: 100070015840 / Bank: NTB - Negombo</t>
  </si>
  <si>
    <t>Astrans Global Pvt Ltd / Acc. No: 324-1-001-0-0032099  / Bank: Peoples Bank - Seeduwa</t>
  </si>
  <si>
    <t>Astrans Global Pvt Ltd / Acc. No: 085010034375 / Bank: HNB - Thalangama</t>
  </si>
  <si>
    <t>Cheque to be drawing in favor of Astrans Global pvt ltd</t>
  </si>
  <si>
    <t>LKR :</t>
  </si>
  <si>
    <t>[UNIT PRICE]</t>
  </si>
  <si>
    <t>[DISCOUNT]</t>
  </si>
  <si>
    <r>
      <rPr>
        <b/>
        <sz val="16"/>
        <color rgb="FF000000"/>
        <rFont val="Calibri"/>
        <family val="2"/>
        <scheme val="minor"/>
      </rPr>
      <t>ASTRANS GLOBAL PVT LTD</t>
    </r>
    <r>
      <rPr>
        <sz val="9"/>
        <color rgb="FF000000"/>
        <rFont val="Calibri"/>
        <family val="2"/>
        <scheme val="minor"/>
      </rPr>
      <t xml:space="preserve">
</t>
    </r>
    <r>
      <rPr>
        <sz val="9.5"/>
        <color rgb="FF000000"/>
        <rFont val="Calibri"/>
        <family val="2"/>
        <scheme val="minor"/>
      </rPr>
      <t>No 30, HPT Homes, Liyanagemulla, Seeduwa, Sri Lanka
Tel:077 182 4473
Email: info@astransglobal.com</t>
    </r>
  </si>
  <si>
    <t xml:space="preserve">Tax Invoice  No.       </t>
  </si>
  <si>
    <t xml:space="preserve">Purchaser's TIN            </t>
  </si>
  <si>
    <t xml:space="preserve">Purchaser's Name       </t>
  </si>
  <si>
    <t xml:space="preserve">Address                         </t>
  </si>
  <si>
    <t xml:space="preserve">Telephone No.            </t>
  </si>
  <si>
    <t xml:space="preserve">Place of Supply           </t>
  </si>
  <si>
    <t xml:space="preserve">Supplier's TIN               </t>
  </si>
  <si>
    <t xml:space="preserve">Supplier's Name          </t>
  </si>
  <si>
    <t xml:space="preserve">Address                        </t>
  </si>
  <si>
    <t xml:space="preserve">Date of Supply            </t>
  </si>
  <si>
    <t xml:space="preserve">Additional Information if any </t>
  </si>
  <si>
    <t xml:space="preserve">Reference Number                    </t>
  </si>
  <si>
    <t xml:space="preserve">Invoice  Due Date                      </t>
  </si>
  <si>
    <t xml:space="preserve">Narration                                     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</si>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</sst>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&quot;Rs.&quot;* #,##0.00_);_(&quot;Rs.&quot;* \(#,##0.00\);_(&quot;Rs.&quot;* &quot;-&quot;??_);_(@_)"/>
  </numFmts>
  <fonts count="17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7.5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u/>
      <sz val="7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u/>
      <sz val="8"/>
      <color rgb="FF000000"/>
      <name val="Calibri"/>
      <family val="2"/>
      <scheme val="minor"/>
    </font>
    <font>
      <sz val="9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5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43" fontId="6" fillId="0" borderId="1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left" vertical="top"/>
    </xf>
    <xf numFmtId="43" fontId="6" fillId="0" borderId="3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164" fontId="2" fillId="0" borderId="0" xfId="0" applyNumberFormat="1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top"/>
    </xf>
    <xf numFmtId="0" fontId="4" fillId="0" borderId="1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43" fontId="4" fillId="0" borderId="19" xfId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43" fontId="4" fillId="0" borderId="19" xfId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4" fillId="0" borderId="31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43" fontId="6" fillId="0" borderId="19" xfId="1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43" fontId="6" fillId="0" borderId="26" xfId="1" applyFont="1" applyBorder="1" applyAlignment="1">
      <alignment horizontal="center" vertical="center"/>
    </xf>
    <xf numFmtId="43" fontId="4" fillId="0" borderId="26" xfId="1" applyFont="1" applyBorder="1" applyAlignment="1">
      <alignment vertical="center"/>
    </xf>
    <xf numFmtId="43" fontId="6" fillId="0" borderId="1" xfId="0" applyNumberFormat="1" applyFont="1" applyBorder="1" applyAlignment="1">
      <alignment vertical="top"/>
    </xf>
    <xf numFmtId="43" fontId="4" fillId="0" borderId="28" xfId="1" applyFont="1" applyBorder="1" applyAlignment="1">
      <alignment horizontal="center" vertical="center"/>
    </xf>
    <xf numFmtId="43" fontId="4" fillId="0" borderId="21" xfId="1" applyFont="1" applyBorder="1" applyAlignment="1">
      <alignment vertical="top"/>
    </xf>
    <xf numFmtId="43" fontId="6" fillId="0" borderId="21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vertical="top"/>
    </xf>
    <xf numFmtId="43" fontId="4" fillId="0" borderId="18" xfId="1" applyFont="1" applyBorder="1" applyAlignment="1">
      <alignment horizontal="center" vertical="center"/>
    </xf>
    <xf numFmtId="43" fontId="4" fillId="0" borderId="18" xfId="1" applyFont="1" applyBorder="1" applyAlignment="1">
      <alignment vertical="top"/>
    </xf>
    <xf numFmtId="43" fontId="8" fillId="0" borderId="18" xfId="0" applyNumberFormat="1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0" fontId="4" fillId="0" borderId="19" xfId="0" applyNumberFormat="1" applyFont="1" applyBorder="1" applyAlignment="1">
      <alignment horizontal="center" vertical="center"/>
    </xf>
    <xf numFmtId="10" fontId="4" fillId="0" borderId="20" xfId="0" applyNumberFormat="1" applyFont="1" applyBorder="1" applyAlignment="1">
      <alignment horizontal="center" vertical="center"/>
    </xf>
    <xf numFmtId="10" fontId="4" fillId="0" borderId="1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3" fontId="4" fillId="0" borderId="19" xfId="0" applyNumberFormat="1" applyFont="1" applyBorder="1" applyAlignment="1">
      <alignment horizontal="center" vertical="center"/>
    </xf>
    <xf numFmtId="43" fontId="4" fillId="0" borderId="2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4" fillId="0" borderId="27" xfId="0" applyFont="1" applyBorder="1" applyAlignment="1">
      <alignment horizontal="center" vertical="top" wrapText="1"/>
    </xf>
    <xf numFmtId="0" fontId="15" fillId="0" borderId="27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center" vertical="center"/>
    </xf>
    <xf numFmtId="10" fontId="4" fillId="0" borderId="19" xfId="0" applyNumberFormat="1" applyFont="1" applyBorder="1" applyAlignment="1">
      <alignment horizontal="center" vertical="top"/>
    </xf>
    <xf numFmtId="10" fontId="4" fillId="0" borderId="18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29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24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0" fontId="6" fillId="0" borderId="32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38099</xdr:rowOff>
    </xdr:from>
    <xdr:ext cx="7188200" cy="45719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" y="774699"/>
          <a:ext cx="7188200" cy="45719"/>
        </a:xfrm>
        <a:custGeom>
          <a:avLst/>
          <a:gdLst/>
          <a:ahLst/>
          <a:cxnLst/>
          <a:rect l="0" t="0" r="0" b="0"/>
          <a:pathLst>
            <a:path w="7200061">
              <a:moveTo>
                <a:pt x="0" y="0"/>
              </a:moveTo>
              <a:lnTo>
                <a:pt x="7200061" y="0"/>
              </a:lnTo>
            </a:path>
          </a:pathLst>
        </a:custGeom>
        <a:ln w="7200">
          <a:solidFill>
            <a:srgbClr val="878787"/>
          </a:solidFill>
          <a:prstDash val="solid"/>
        </a:ln>
      </xdr:spPr>
    </xdr:sp>
    <xdr:clientData/>
  </xdr:oneCellAnchor>
  <xdr:oneCellAnchor>
    <xdr:from>
      <xdr:col>0</xdr:col>
      <xdr:colOff>0</xdr:colOff>
      <xdr:row>52</xdr:row>
      <xdr:rowOff>114299</xdr:rowOff>
    </xdr:from>
    <xdr:ext cx="7239000" cy="144781"/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0" y="9115017"/>
          <a:ext cx="7239000" cy="144781"/>
          <a:chOff x="0" y="11148409"/>
          <a:chExt cx="7200049" cy="3594"/>
        </a:xfrm>
      </xdr:grpSpPr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797" y="11150206"/>
            <a:ext cx="2390127" cy="0"/>
          </a:xfrm>
          <a:custGeom>
            <a:avLst/>
            <a:gdLst/>
            <a:ahLst/>
            <a:cxnLst/>
            <a:rect l="0" t="0" r="0" b="0"/>
            <a:pathLst>
              <a:path w="2390127">
                <a:moveTo>
                  <a:pt x="0" y="0"/>
                </a:moveTo>
                <a:lnTo>
                  <a:pt x="2390127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395531" y="11150206"/>
            <a:ext cx="2191423" cy="0"/>
          </a:xfrm>
          <a:custGeom>
            <a:avLst/>
            <a:gdLst/>
            <a:ahLst/>
            <a:cxnLst/>
            <a:rect l="0" t="0" r="0" b="0"/>
            <a:pathLst>
              <a:path w="2191423">
                <a:moveTo>
                  <a:pt x="0" y="0"/>
                </a:moveTo>
                <a:lnTo>
                  <a:pt x="2191423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590561" y="11150206"/>
            <a:ext cx="2607691" cy="0"/>
          </a:xfrm>
          <a:custGeom>
            <a:avLst/>
            <a:gdLst/>
            <a:ahLst/>
            <a:cxnLst/>
            <a:rect l="0" t="0" r="0" b="0"/>
            <a:pathLst>
              <a:path w="2607691">
                <a:moveTo>
                  <a:pt x="0" y="0"/>
                </a:moveTo>
                <a:lnTo>
                  <a:pt x="2607691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363220</xdr:colOff>
      <xdr:row>0</xdr:row>
      <xdr:rowOff>38100</xdr:rowOff>
    </xdr:from>
    <xdr:ext cx="725805" cy="737235"/>
    <xdr:pic>
      <xdr:nvPicPr>
        <xdr:cNvPr id="4" name="image1.png">
          <a:extLst>
            <a:ext uri="{FF2B5EF4-FFF2-40B4-BE49-F238E27FC236}">
              <a16:creationId xmlns:a16="http://schemas.microsoft.com/office/drawing/2014/main" id="{61F2D0F6-94B1-494E-BA32-5D2F8C0B8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3220" y="38100"/>
          <a:ext cx="725805" cy="73723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leep Sandaruwan" id="{8689E96D-DD37-4500-B69B-5C0CC547C81B}" userId="S::dileep@envoyortus.com::418fc84f-ec83-4e56-b6b4-c1978627d36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7-08T04:30:49.71" personId="{8689E96D-DD37-4500-B69B-5C0CC547C81B}" id="{5AACFEF2-5ECF-49ED-B4BF-0F295BDC070F}">
    <text>Mm/dd/yyyy</text>
  </threadedComment>
  <threadedComment ref="P5" dT="2026-07-08T04:31:58.85" personId="{8689E96D-DD37-4500-B69B-5C0CC547C81B}" id="{D71A6507-87A4-4E1E-B793-ED97DB0B3C89}">
    <text>YYMMM_QQQQ_XXXXX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5"/>
  <sheetViews>
    <sheetView tabSelected="1" view="pageBreakPreview" zoomScale="117" zoomScaleNormal="100" zoomScaleSheetLayoutView="132" workbookViewId="0">
      <selection activeCell="O29" sqref="O29"/>
    </sheetView>
  </sheetViews>
  <sheetFormatPr defaultColWidth="8.88671875" defaultRowHeight="14.4" x14ac:dyDescent="0.3"/>
  <cols>
    <col min="1" max="1" width="5.88671875" style="2" customWidth="1"/>
    <col min="2" max="2" width="1" style="2" customWidth="1"/>
    <col min="3" max="3" width="2" style="2" customWidth="1"/>
    <col min="4" max="4" width="2.88671875" style="2" customWidth="1"/>
    <col min="5" max="5" width="1.88671875" style="2" customWidth="1"/>
    <col min="6" max="7" width="1" style="2" customWidth="1"/>
    <col min="8" max="8" width="3.33203125" style="2" customWidth="1"/>
    <col min="9" max="9" width="1.109375" style="2" customWidth="1"/>
    <col min="10" max="10" width="7.33203125" style="2" customWidth="1"/>
    <col min="11" max="11" width="4.88671875" style="2" customWidth="1"/>
    <col min="12" max="13" width="3.109375" style="2" customWidth="1"/>
    <col min="14" max="14" width="5" style="2" customWidth="1"/>
    <col min="15" max="15" width="6" style="2" customWidth="1"/>
    <col min="16" max="16" width="1.5546875" style="2" customWidth="1"/>
    <col min="17" max="17" width="1.88671875" style="2" customWidth="1"/>
    <col min="18" max="18" width="4.5546875" style="2" customWidth="1"/>
    <col min="19" max="19" width="4.33203125" style="2" customWidth="1"/>
    <col min="20" max="20" width="2.77734375" style="2" customWidth="1"/>
    <col min="21" max="21" width="1.109375" style="2" customWidth="1"/>
    <col min="22" max="22" width="7.88671875" style="2" customWidth="1"/>
    <col min="23" max="23" width="4.109375" style="2" customWidth="1"/>
    <col min="24" max="24" width="13.21875" style="2" customWidth="1"/>
    <col min="25" max="25" width="3" style="2" customWidth="1"/>
    <col min="26" max="26" width="18.33203125" style="2" customWidth="1"/>
    <col min="27" max="16384" width="8.88671875" style="2"/>
  </cols>
  <sheetData>
    <row r="1" spans="1:26" ht="58.2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36"/>
      <c r="P1" s="129" t="s">
        <v>48</v>
      </c>
      <c r="Q1" s="129"/>
      <c r="R1" s="129"/>
      <c r="S1" s="129"/>
      <c r="T1" s="129"/>
      <c r="U1" s="129"/>
      <c r="V1" s="129"/>
      <c r="W1" s="129"/>
      <c r="X1" s="129"/>
      <c r="Y1" s="21"/>
      <c r="Z1" s="1"/>
    </row>
    <row r="2" spans="1:26" ht="6.6" customHeigh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6" ht="28.8" customHeight="1" x14ac:dyDescent="0.3">
      <c r="A3" s="131" t="s">
        <v>0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4"/>
    </row>
    <row r="4" spans="1:26" ht="4.8" customHeight="1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/>
    </row>
    <row r="5" spans="1:26" ht="15.6" customHeight="1" thickBot="1" x14ac:dyDescent="0.35">
      <c r="A5" s="72" t="s">
        <v>1</v>
      </c>
      <c r="B5" s="73"/>
      <c r="C5" s="73"/>
      <c r="D5" s="73"/>
      <c r="E5" s="56" t="s">
        <v>63</v>
      </c>
      <c r="F5" s="115" t="s">
        <v>15</v>
      </c>
      <c r="G5" s="115"/>
      <c r="H5" s="115"/>
      <c r="I5" s="115"/>
      <c r="J5" s="115"/>
      <c r="K5" s="115"/>
      <c r="L5" s="115"/>
      <c r="M5" s="116"/>
      <c r="N5" s="28"/>
      <c r="O5" s="24"/>
      <c r="P5" s="5"/>
      <c r="Q5" s="72" t="s">
        <v>49</v>
      </c>
      <c r="R5" s="73"/>
      <c r="S5" s="73"/>
      <c r="T5" s="73"/>
      <c r="U5" s="56" t="s">
        <v>63</v>
      </c>
      <c r="V5" s="124" t="s">
        <v>13</v>
      </c>
      <c r="W5" s="124"/>
      <c r="X5" s="125"/>
      <c r="Y5" s="4"/>
    </row>
    <row r="6" spans="1:26" ht="9" customHeight="1" thickBot="1" x14ac:dyDescent="0.35">
      <c r="A6" s="7"/>
      <c r="B6" s="7"/>
      <c r="C6" s="7"/>
      <c r="D6" s="7"/>
      <c r="E6" s="1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4"/>
    </row>
    <row r="7" spans="1:26" ht="15.6" customHeight="1" x14ac:dyDescent="0.3">
      <c r="A7" s="74" t="s">
        <v>55</v>
      </c>
      <c r="B7" s="75"/>
      <c r="C7" s="75"/>
      <c r="D7" s="75"/>
      <c r="E7" s="57" t="s">
        <v>63</v>
      </c>
      <c r="F7" s="122" t="s">
        <v>23</v>
      </c>
      <c r="G7" s="122"/>
      <c r="H7" s="122"/>
      <c r="I7" s="122"/>
      <c r="J7" s="122"/>
      <c r="K7" s="122"/>
      <c r="L7" s="122"/>
      <c r="M7" s="123"/>
      <c r="N7" s="24"/>
      <c r="O7" s="24"/>
      <c r="P7" s="5"/>
      <c r="Q7" s="74" t="s">
        <v>50</v>
      </c>
      <c r="R7" s="75"/>
      <c r="S7" s="75"/>
      <c r="T7" s="75"/>
      <c r="U7" s="57" t="s">
        <v>63</v>
      </c>
      <c r="V7" s="122" t="s">
        <v>14</v>
      </c>
      <c r="W7" s="122"/>
      <c r="X7" s="123"/>
      <c r="Y7" s="4"/>
    </row>
    <row r="8" spans="1:26" ht="21.6" customHeight="1" x14ac:dyDescent="0.3">
      <c r="A8" s="76" t="s">
        <v>56</v>
      </c>
      <c r="B8" s="77"/>
      <c r="C8" s="77"/>
      <c r="D8" s="77"/>
      <c r="E8" s="58" t="s">
        <v>63</v>
      </c>
      <c r="F8" s="117" t="s">
        <v>24</v>
      </c>
      <c r="G8" s="117"/>
      <c r="H8" s="117"/>
      <c r="I8" s="117"/>
      <c r="J8" s="117"/>
      <c r="K8" s="117"/>
      <c r="L8" s="117"/>
      <c r="M8" s="118"/>
      <c r="N8" s="24"/>
      <c r="O8" s="24"/>
      <c r="P8" s="5"/>
      <c r="Q8" s="76" t="s">
        <v>51</v>
      </c>
      <c r="R8" s="77"/>
      <c r="S8" s="77"/>
      <c r="T8" s="77"/>
      <c r="U8" s="58" t="s">
        <v>63</v>
      </c>
      <c r="V8" s="126" t="s">
        <v>18</v>
      </c>
      <c r="W8" s="126"/>
      <c r="X8" s="127"/>
      <c r="Y8" s="6"/>
    </row>
    <row r="9" spans="1:26" ht="15.6" customHeight="1" x14ac:dyDescent="0.3">
      <c r="A9" s="78" t="s">
        <v>57</v>
      </c>
      <c r="B9" s="79"/>
      <c r="C9" s="79"/>
      <c r="D9" s="79"/>
      <c r="E9" s="58" t="s">
        <v>63</v>
      </c>
      <c r="F9" s="117" t="s">
        <v>25</v>
      </c>
      <c r="G9" s="117"/>
      <c r="H9" s="117"/>
      <c r="I9" s="117"/>
      <c r="J9" s="117"/>
      <c r="K9" s="117"/>
      <c r="L9" s="117"/>
      <c r="M9" s="118"/>
      <c r="N9" s="24"/>
      <c r="O9" s="24"/>
      <c r="P9" s="5"/>
      <c r="Q9" s="78" t="s">
        <v>52</v>
      </c>
      <c r="R9" s="79"/>
      <c r="S9" s="79"/>
      <c r="T9" s="79"/>
      <c r="U9" s="58" t="s">
        <v>63</v>
      </c>
      <c r="V9" s="117" t="s">
        <v>28</v>
      </c>
      <c r="W9" s="117"/>
      <c r="X9" s="118"/>
      <c r="Y9" s="4"/>
    </row>
    <row r="10" spans="1:26" ht="15.6" customHeight="1" x14ac:dyDescent="0.3">
      <c r="A10" s="78"/>
      <c r="B10" s="79"/>
      <c r="C10" s="79"/>
      <c r="D10" s="79"/>
      <c r="E10" s="11"/>
      <c r="F10" s="117" t="s">
        <v>26</v>
      </c>
      <c r="G10" s="117"/>
      <c r="H10" s="117"/>
      <c r="I10" s="117"/>
      <c r="J10" s="117"/>
      <c r="K10" s="117"/>
      <c r="L10" s="117"/>
      <c r="M10" s="118"/>
      <c r="N10" s="24"/>
      <c r="O10" s="24"/>
      <c r="P10" s="5"/>
      <c r="Q10" s="78"/>
      <c r="R10" s="79"/>
      <c r="S10" s="79"/>
      <c r="T10" s="79"/>
      <c r="U10" s="3"/>
      <c r="V10" s="117" t="s">
        <v>29</v>
      </c>
      <c r="W10" s="117"/>
      <c r="X10" s="118"/>
      <c r="Y10" s="4"/>
    </row>
    <row r="11" spans="1:26" ht="15.6" customHeight="1" x14ac:dyDescent="0.3">
      <c r="A11" s="78"/>
      <c r="B11" s="79"/>
      <c r="C11" s="79"/>
      <c r="D11" s="79"/>
      <c r="E11" s="11"/>
      <c r="F11" s="117" t="s">
        <v>27</v>
      </c>
      <c r="G11" s="117"/>
      <c r="H11" s="117"/>
      <c r="I11" s="117"/>
      <c r="J11" s="117"/>
      <c r="K11" s="117"/>
      <c r="L11" s="117"/>
      <c r="M11" s="118"/>
      <c r="N11" s="24"/>
      <c r="O11" s="24"/>
      <c r="P11" s="5"/>
      <c r="Q11" s="78"/>
      <c r="R11" s="79"/>
      <c r="S11" s="79"/>
      <c r="T11" s="79"/>
      <c r="U11" s="3"/>
      <c r="V11" s="117" t="s">
        <v>30</v>
      </c>
      <c r="W11" s="117"/>
      <c r="X11" s="118"/>
      <c r="Y11" s="4"/>
    </row>
    <row r="12" spans="1:26" ht="15.6" customHeight="1" thickBot="1" x14ac:dyDescent="0.35">
      <c r="A12" s="80" t="s">
        <v>53</v>
      </c>
      <c r="B12" s="81"/>
      <c r="C12" s="81"/>
      <c r="D12" s="81"/>
      <c r="E12" s="59" t="s">
        <v>63</v>
      </c>
      <c r="F12" s="119" t="s">
        <v>20</v>
      </c>
      <c r="G12" s="119"/>
      <c r="H12" s="119"/>
      <c r="I12" s="119"/>
      <c r="J12" s="119"/>
      <c r="K12" s="119"/>
      <c r="L12" s="119"/>
      <c r="M12" s="120"/>
      <c r="N12" s="24"/>
      <c r="O12" s="24"/>
      <c r="P12" s="5"/>
      <c r="Q12" s="80" t="s">
        <v>53</v>
      </c>
      <c r="R12" s="81"/>
      <c r="S12" s="81"/>
      <c r="T12" s="81"/>
      <c r="U12" s="59" t="s">
        <v>63</v>
      </c>
      <c r="V12" s="130" t="s">
        <v>19</v>
      </c>
      <c r="W12" s="119"/>
      <c r="X12" s="120"/>
      <c r="Y12" s="4"/>
    </row>
    <row r="13" spans="1:26" ht="7.2" customHeight="1" thickBot="1" x14ac:dyDescent="0.35">
      <c r="A13" s="7"/>
      <c r="B13" s="7"/>
      <c r="C13" s="7"/>
      <c r="D13" s="7"/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"/>
      <c r="R13" s="3"/>
      <c r="S13" s="3"/>
      <c r="T13" s="3"/>
      <c r="U13" s="3"/>
      <c r="V13" s="3"/>
      <c r="W13" s="3"/>
      <c r="X13" s="3"/>
      <c r="Y13" s="4"/>
    </row>
    <row r="14" spans="1:26" ht="15.6" customHeight="1" thickBot="1" x14ac:dyDescent="0.35">
      <c r="A14" s="72" t="s">
        <v>58</v>
      </c>
      <c r="B14" s="73"/>
      <c r="C14" s="73"/>
      <c r="D14" s="73"/>
      <c r="E14" s="56" t="s">
        <v>63</v>
      </c>
      <c r="F14" s="115" t="s">
        <v>16</v>
      </c>
      <c r="G14" s="115"/>
      <c r="H14" s="115"/>
      <c r="I14" s="115"/>
      <c r="J14" s="115"/>
      <c r="K14" s="115"/>
      <c r="L14" s="115"/>
      <c r="M14" s="116"/>
      <c r="N14" s="28"/>
      <c r="O14" s="35"/>
      <c r="P14" s="5"/>
      <c r="Q14" s="72" t="s">
        <v>54</v>
      </c>
      <c r="R14" s="73"/>
      <c r="S14" s="73"/>
      <c r="T14" s="73"/>
      <c r="U14" s="56" t="s">
        <v>63</v>
      </c>
      <c r="V14" s="124" t="s">
        <v>17</v>
      </c>
      <c r="W14" s="124"/>
      <c r="X14" s="125"/>
      <c r="Y14" s="4"/>
    </row>
    <row r="15" spans="1:26" ht="8.4" customHeight="1" thickBot="1" x14ac:dyDescent="0.35">
      <c r="A15" s="7"/>
      <c r="B15" s="7"/>
      <c r="C15" s="7"/>
      <c r="D15" s="7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3"/>
      <c r="R15" s="3"/>
      <c r="S15" s="3"/>
      <c r="T15" s="3"/>
      <c r="U15" s="3"/>
      <c r="V15" s="3"/>
      <c r="W15" s="3"/>
      <c r="X15" s="3"/>
      <c r="Y15" s="4"/>
    </row>
    <row r="16" spans="1:26" ht="15.6" customHeight="1" x14ac:dyDescent="0.3">
      <c r="A16" s="111" t="s">
        <v>59</v>
      </c>
      <c r="B16" s="112"/>
      <c r="C16" s="112"/>
      <c r="D16" s="112"/>
      <c r="E16" s="112"/>
      <c r="F16" s="112"/>
      <c r="G16" s="112"/>
      <c r="H16" s="112"/>
      <c r="I16" s="60" t="s">
        <v>63</v>
      </c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27"/>
      <c r="Y16" s="4"/>
    </row>
    <row r="17" spans="1:24" ht="14.4" customHeight="1" x14ac:dyDescent="0.3">
      <c r="A17" s="113" t="s">
        <v>60</v>
      </c>
      <c r="B17" s="114"/>
      <c r="C17" s="114"/>
      <c r="D17" s="114"/>
      <c r="E17" s="114"/>
      <c r="F17" s="114"/>
      <c r="G17" s="114"/>
      <c r="H17" s="114"/>
      <c r="I17" s="61" t="s">
        <v>63</v>
      </c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</row>
    <row r="18" spans="1:24" ht="14.4" customHeight="1" x14ac:dyDescent="0.3">
      <c r="A18" s="113" t="s">
        <v>61</v>
      </c>
      <c r="B18" s="114"/>
      <c r="C18" s="114"/>
      <c r="D18" s="114"/>
      <c r="E18" s="114"/>
      <c r="F18" s="114"/>
      <c r="G18" s="114"/>
      <c r="H18" s="114"/>
      <c r="I18" s="61" t="s">
        <v>63</v>
      </c>
      <c r="J18" s="90" t="s">
        <v>21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121"/>
    </row>
    <row r="19" spans="1:24" ht="15" customHeight="1" thickBot="1" x14ac:dyDescent="0.35">
      <c r="A19" s="105" t="s">
        <v>62</v>
      </c>
      <c r="B19" s="106"/>
      <c r="C19" s="106"/>
      <c r="D19" s="106"/>
      <c r="E19" s="106"/>
      <c r="F19" s="106"/>
      <c r="G19" s="106"/>
      <c r="H19" s="106"/>
      <c r="I19" s="62" t="s">
        <v>63</v>
      </c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20"/>
    </row>
    <row r="20" spans="1:24" ht="7.2" customHeight="1" thickBot="1" x14ac:dyDescent="0.35"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79"/>
      <c r="R20" s="79"/>
      <c r="S20" s="79"/>
      <c r="T20" s="79"/>
      <c r="U20" s="79"/>
      <c r="V20" s="79"/>
      <c r="W20" s="90"/>
      <c r="X20" s="90"/>
    </row>
    <row r="21" spans="1:24" ht="15" customHeight="1" x14ac:dyDescent="0.3">
      <c r="A21" s="110" t="s">
        <v>2</v>
      </c>
      <c r="B21" s="110"/>
      <c r="C21" s="110"/>
      <c r="D21" s="107" t="s">
        <v>3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55" t="s">
        <v>4</v>
      </c>
      <c r="P21" s="107" t="s">
        <v>5</v>
      </c>
      <c r="Q21" s="108"/>
      <c r="R21" s="109"/>
      <c r="S21" s="107" t="s">
        <v>22</v>
      </c>
      <c r="T21" s="108"/>
      <c r="U21" s="109"/>
      <c r="V21" s="25" t="s">
        <v>36</v>
      </c>
      <c r="W21" s="132" t="s">
        <v>6</v>
      </c>
      <c r="X21" s="133"/>
    </row>
    <row r="22" spans="1:24" ht="13.8" customHeight="1" x14ac:dyDescent="0.3">
      <c r="A22" s="65" t="s">
        <v>33</v>
      </c>
      <c r="B22" s="65"/>
      <c r="C22" s="65"/>
      <c r="D22" s="66" t="s">
        <v>34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26" t="s">
        <v>35</v>
      </c>
      <c r="P22" s="82" t="s">
        <v>46</v>
      </c>
      <c r="Q22" s="83"/>
      <c r="R22" s="84"/>
      <c r="S22" s="69" t="s">
        <v>47</v>
      </c>
      <c r="T22" s="70"/>
      <c r="U22" s="71"/>
      <c r="V22" s="31" t="e">
        <f>P22*(100%-S22)</f>
        <v>#VALUE!</v>
      </c>
      <c r="W22" s="45" t="s">
        <v>45</v>
      </c>
      <c r="X22" s="48" t="e">
        <f>O22*V22</f>
        <v>#VALUE!</v>
      </c>
    </row>
    <row r="23" spans="1:24" ht="13.8" customHeight="1" x14ac:dyDescent="0.3">
      <c r="A23" s="65" t="s">
        <v>33</v>
      </c>
      <c r="B23" s="65"/>
      <c r="C23" s="65"/>
      <c r="D23" s="66" t="s">
        <v>34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26" t="s">
        <v>35</v>
      </c>
      <c r="P23" s="82" t="s">
        <v>46</v>
      </c>
      <c r="Q23" s="83"/>
      <c r="R23" s="84"/>
      <c r="S23" s="69" t="s">
        <v>47</v>
      </c>
      <c r="T23" s="70"/>
      <c r="U23" s="71"/>
      <c r="V23" s="31" t="e">
        <f>P23*(100%-S23)</f>
        <v>#VALUE!</v>
      </c>
      <c r="W23" s="46"/>
      <c r="X23" s="48" t="e">
        <f t="shared" ref="X23:X29" si="0">O23*V23</f>
        <v>#VALUE!</v>
      </c>
    </row>
    <row r="24" spans="1:24" ht="13.8" customHeight="1" x14ac:dyDescent="0.3">
      <c r="A24" s="65" t="s">
        <v>33</v>
      </c>
      <c r="B24" s="65"/>
      <c r="C24" s="65"/>
      <c r="D24" s="66" t="s">
        <v>34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26" t="s">
        <v>35</v>
      </c>
      <c r="P24" s="82" t="s">
        <v>46</v>
      </c>
      <c r="Q24" s="83"/>
      <c r="R24" s="84"/>
      <c r="S24" s="69" t="s">
        <v>47</v>
      </c>
      <c r="T24" s="70"/>
      <c r="U24" s="71"/>
      <c r="V24" s="31" t="e">
        <f t="shared" ref="V24:V30" si="1">P24*(100%-S24)</f>
        <v>#VALUE!</v>
      </c>
      <c r="W24" s="46"/>
      <c r="X24" s="48" t="e">
        <f t="shared" si="0"/>
        <v>#VALUE!</v>
      </c>
    </row>
    <row r="25" spans="1:24" ht="13.8" customHeight="1" x14ac:dyDescent="0.3">
      <c r="A25" s="65"/>
      <c r="B25" s="65"/>
      <c r="C25" s="65"/>
      <c r="D25" s="66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37"/>
      <c r="P25" s="85"/>
      <c r="Q25" s="86"/>
      <c r="R25" s="63"/>
      <c r="S25" s="69"/>
      <c r="T25" s="70"/>
      <c r="U25" s="71"/>
      <c r="V25" s="31">
        <f t="shared" si="1"/>
        <v>0</v>
      </c>
      <c r="W25" s="46"/>
      <c r="X25" s="48">
        <f t="shared" si="0"/>
        <v>0</v>
      </c>
    </row>
    <row r="26" spans="1:24" ht="13.8" customHeight="1" x14ac:dyDescent="0.3">
      <c r="A26" s="65"/>
      <c r="B26" s="65"/>
      <c r="C26" s="66"/>
      <c r="D26" s="82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32"/>
      <c r="P26" s="63"/>
      <c r="Q26" s="64"/>
      <c r="R26" s="64"/>
      <c r="S26" s="69"/>
      <c r="T26" s="70"/>
      <c r="U26" s="71"/>
      <c r="V26" s="31">
        <f t="shared" si="1"/>
        <v>0</v>
      </c>
      <c r="W26" s="46"/>
      <c r="X26" s="48">
        <f t="shared" si="0"/>
        <v>0</v>
      </c>
    </row>
    <row r="27" spans="1:24" ht="13.8" customHeight="1" x14ac:dyDescent="0.3">
      <c r="A27" s="65"/>
      <c r="B27" s="65"/>
      <c r="C27" s="66"/>
      <c r="D27" s="82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32"/>
      <c r="P27" s="63"/>
      <c r="Q27" s="64"/>
      <c r="R27" s="64"/>
      <c r="S27" s="69"/>
      <c r="T27" s="70"/>
      <c r="U27" s="71"/>
      <c r="V27" s="31">
        <f t="shared" si="1"/>
        <v>0</v>
      </c>
      <c r="W27" s="46"/>
      <c r="X27" s="48">
        <f t="shared" si="0"/>
        <v>0</v>
      </c>
    </row>
    <row r="28" spans="1:24" ht="13.8" customHeight="1" x14ac:dyDescent="0.3">
      <c r="A28" s="82"/>
      <c r="B28" s="83"/>
      <c r="C28" s="84"/>
      <c r="D28" s="82"/>
      <c r="E28" s="83"/>
      <c r="F28" s="83"/>
      <c r="G28" s="83"/>
      <c r="H28" s="83"/>
      <c r="I28" s="83"/>
      <c r="J28" s="83"/>
      <c r="K28" s="83"/>
      <c r="L28" s="83"/>
      <c r="M28" s="83"/>
      <c r="N28" s="84"/>
      <c r="O28" s="38"/>
      <c r="P28" s="85"/>
      <c r="Q28" s="86"/>
      <c r="R28" s="63"/>
      <c r="S28" s="69"/>
      <c r="T28" s="70"/>
      <c r="U28" s="71"/>
      <c r="V28" s="31">
        <f t="shared" si="1"/>
        <v>0</v>
      </c>
      <c r="W28" s="46"/>
      <c r="X28" s="48">
        <f t="shared" si="0"/>
        <v>0</v>
      </c>
    </row>
    <row r="29" spans="1:24" ht="13.8" customHeight="1" x14ac:dyDescent="0.3">
      <c r="A29" s="82"/>
      <c r="B29" s="83"/>
      <c r="C29" s="84"/>
      <c r="D29" s="82"/>
      <c r="E29" s="83"/>
      <c r="F29" s="83"/>
      <c r="G29" s="83"/>
      <c r="H29" s="83"/>
      <c r="I29" s="83"/>
      <c r="J29" s="83"/>
      <c r="K29" s="83"/>
      <c r="L29" s="83"/>
      <c r="M29" s="83"/>
      <c r="N29" s="84"/>
      <c r="O29" s="38"/>
      <c r="P29" s="85"/>
      <c r="Q29" s="86"/>
      <c r="R29" s="63"/>
      <c r="S29" s="69"/>
      <c r="T29" s="70"/>
      <c r="U29" s="71"/>
      <c r="V29" s="31">
        <f t="shared" si="1"/>
        <v>0</v>
      </c>
      <c r="W29" s="46"/>
      <c r="X29" s="48">
        <f t="shared" si="0"/>
        <v>0</v>
      </c>
    </row>
    <row r="30" spans="1:24" ht="13.8" customHeight="1" x14ac:dyDescent="0.3">
      <c r="A30" s="65"/>
      <c r="B30" s="65"/>
      <c r="C30" s="66"/>
      <c r="D30" s="67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38"/>
      <c r="P30" s="63"/>
      <c r="Q30" s="64"/>
      <c r="R30" s="64"/>
      <c r="S30" s="69"/>
      <c r="T30" s="70"/>
      <c r="U30" s="71"/>
      <c r="V30" s="31">
        <f t="shared" si="1"/>
        <v>0</v>
      </c>
      <c r="W30" s="33"/>
      <c r="X30" s="52">
        <f>O30*V30</f>
        <v>0</v>
      </c>
    </row>
    <row r="31" spans="1:24" ht="15" customHeight="1" x14ac:dyDescent="0.3">
      <c r="A31" s="97" t="s">
        <v>7</v>
      </c>
      <c r="B31" s="98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8"/>
      <c r="Q31" s="98"/>
      <c r="R31" s="98"/>
      <c r="S31" s="98"/>
      <c r="T31" s="98"/>
      <c r="U31" s="98"/>
      <c r="V31" s="100"/>
      <c r="W31" s="43" t="s">
        <v>45</v>
      </c>
      <c r="X31" s="53" t="e">
        <f>SUM(X22:X30)</f>
        <v>#VALUE!</v>
      </c>
    </row>
    <row r="32" spans="1:24" ht="12.6" customHeight="1" x14ac:dyDescent="0.3">
      <c r="A32" s="104" t="s">
        <v>22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95" t="s">
        <v>31</v>
      </c>
      <c r="V32" s="96"/>
      <c r="W32" s="45" t="s">
        <v>45</v>
      </c>
      <c r="X32" s="49" t="e">
        <f>X31*U32</f>
        <v>#VALUE!</v>
      </c>
    </row>
    <row r="33" spans="1:26" ht="13.2" customHeight="1" x14ac:dyDescent="0.3">
      <c r="A33" s="97" t="s">
        <v>8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100"/>
      <c r="W33" s="45" t="s">
        <v>45</v>
      </c>
      <c r="X33" s="50" t="e">
        <f>X31-X32</f>
        <v>#VALUE!</v>
      </c>
    </row>
    <row r="34" spans="1:26" ht="13.2" customHeight="1" x14ac:dyDescent="0.3">
      <c r="A34" s="97" t="s">
        <v>9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100"/>
      <c r="W34" s="45" t="s">
        <v>45</v>
      </c>
      <c r="X34" s="51" t="e">
        <f>X33*18%</f>
        <v>#VALUE!</v>
      </c>
      <c r="Z34" s="20"/>
    </row>
    <row r="35" spans="1:26" ht="12.6" customHeight="1" thickBot="1" x14ac:dyDescent="0.35">
      <c r="A35" s="101" t="s">
        <v>10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43" t="s">
        <v>45</v>
      </c>
      <c r="X35" s="54" t="e">
        <f>SUM(X33:X34)</f>
        <v>#VALUE!</v>
      </c>
    </row>
    <row r="36" spans="1:26" ht="3" hidden="1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44"/>
      <c r="X36" s="47"/>
    </row>
    <row r="37" spans="1:26" ht="5.4" customHeight="1" thickBo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2"/>
      <c r="W37" s="11"/>
      <c r="X37" s="11"/>
    </row>
    <row r="38" spans="1:26" ht="13.8" customHeight="1" thickBot="1" x14ac:dyDescent="0.35">
      <c r="A38" s="72" t="s">
        <v>11</v>
      </c>
      <c r="B38" s="73"/>
      <c r="C38" s="73"/>
      <c r="D38" s="73"/>
      <c r="E38" s="73"/>
      <c r="F38" s="73"/>
      <c r="G38" s="73"/>
      <c r="H38" s="94" t="s">
        <v>32</v>
      </c>
      <c r="I38" s="94"/>
      <c r="J38" s="94"/>
      <c r="K38" s="94"/>
      <c r="L38" s="94"/>
      <c r="M38" s="34"/>
      <c r="N38" s="34"/>
      <c r="O38" s="13"/>
      <c r="P38" s="13"/>
      <c r="Q38" s="13"/>
      <c r="R38" s="13"/>
      <c r="S38" s="13"/>
      <c r="T38" s="13"/>
      <c r="U38" s="13"/>
      <c r="V38" s="14"/>
      <c r="W38" s="15"/>
      <c r="X38" s="16"/>
    </row>
    <row r="39" spans="1:26" ht="4.8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2"/>
      <c r="W39" s="11"/>
      <c r="X39" s="11"/>
    </row>
    <row r="40" spans="1:26" ht="10.199999999999999" customHeight="1" x14ac:dyDescent="0.3">
      <c r="A40" s="90" t="s">
        <v>37</v>
      </c>
      <c r="B40" s="79"/>
      <c r="C40" s="79"/>
      <c r="D40" s="79"/>
      <c r="E40" s="79"/>
      <c r="F40" s="79"/>
      <c r="G40" s="79"/>
      <c r="H40" s="79"/>
      <c r="I40" s="79"/>
      <c r="J40" s="7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9"/>
      <c r="W40" s="9"/>
      <c r="X40" s="9"/>
    </row>
    <row r="41" spans="1:26" ht="14.4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9"/>
      <c r="L41" s="29"/>
      <c r="M41" s="29"/>
      <c r="N41" s="29"/>
      <c r="O41" s="29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6" ht="30.6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30"/>
      <c r="L42" s="29"/>
      <c r="M42" s="29"/>
      <c r="N42" s="29"/>
      <c r="O42" s="29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6" ht="10.8" customHeight="1" x14ac:dyDescent="0.3">
      <c r="A43" s="91" t="s">
        <v>38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6" ht="10.8" customHeight="1" x14ac:dyDescent="0.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6" ht="7.8" customHeight="1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6" ht="12" customHeight="1" x14ac:dyDescent="0.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6" ht="9.6" customHeight="1" x14ac:dyDescent="0.3">
      <c r="A47" s="91" t="s">
        <v>39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6" ht="10.8" customHeight="1" x14ac:dyDescent="0.3">
      <c r="A48" s="40" t="s">
        <v>12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s="42" customFormat="1" ht="13.8" customHeight="1" x14ac:dyDescent="0.2">
      <c r="A49" s="93" t="s">
        <v>40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 ht="9.6" customHeight="1" x14ac:dyDescent="0.3">
      <c r="A50" s="89" t="s">
        <v>41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17"/>
      <c r="V50" s="17"/>
      <c r="W50" s="17"/>
      <c r="X50" s="17"/>
      <c r="Y50" s="17"/>
    </row>
    <row r="51" spans="1:25" ht="9.6" customHeight="1" x14ac:dyDescent="0.3">
      <c r="A51" s="89" t="s">
        <v>42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17"/>
      <c r="V51" s="17"/>
      <c r="W51" s="17"/>
      <c r="X51" s="17"/>
      <c r="Y51" s="17"/>
    </row>
    <row r="52" spans="1:25" ht="9.6" customHeight="1" x14ac:dyDescent="0.3">
      <c r="A52" s="89" t="s">
        <v>43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17"/>
      <c r="V52" s="17"/>
      <c r="W52" s="17"/>
      <c r="X52" s="17"/>
      <c r="Y52" s="17"/>
    </row>
    <row r="53" spans="1:25" ht="13.95" customHeight="1" x14ac:dyDescent="0.3">
      <c r="A53" s="87" t="s">
        <v>44</v>
      </c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17"/>
      <c r="V53" s="17"/>
      <c r="W53" s="17"/>
      <c r="X53" s="17"/>
      <c r="Y53" s="17"/>
    </row>
    <row r="54" spans="1:25" ht="13.95" customHeight="1" x14ac:dyDescent="0.3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8"/>
    </row>
    <row r="55" spans="1:25" ht="17.7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4"/>
      <c r="V55" s="4"/>
      <c r="W55" s="4"/>
      <c r="X55" s="4"/>
      <c r="Y55" s="4"/>
    </row>
  </sheetData>
  <mergeCells count="98">
    <mergeCell ref="P1:X1"/>
    <mergeCell ref="V10:X10"/>
    <mergeCell ref="V11:X11"/>
    <mergeCell ref="V12:X12"/>
    <mergeCell ref="A3:X3"/>
    <mergeCell ref="F5:M5"/>
    <mergeCell ref="V5:X5"/>
    <mergeCell ref="F7:M7"/>
    <mergeCell ref="V7:X7"/>
    <mergeCell ref="F8:M8"/>
    <mergeCell ref="V14:X14"/>
    <mergeCell ref="V8:X8"/>
    <mergeCell ref="A54:X54"/>
    <mergeCell ref="W21:X21"/>
    <mergeCell ref="J16:W16"/>
    <mergeCell ref="J17:W17"/>
    <mergeCell ref="F9:M9"/>
    <mergeCell ref="J18:X18"/>
    <mergeCell ref="J19:X19"/>
    <mergeCell ref="Q20:V20"/>
    <mergeCell ref="W20:X20"/>
    <mergeCell ref="V9:X9"/>
    <mergeCell ref="A16:H16"/>
    <mergeCell ref="A17:H17"/>
    <mergeCell ref="A18:H18"/>
    <mergeCell ref="F14:M14"/>
    <mergeCell ref="F10:M10"/>
    <mergeCell ref="F11:M11"/>
    <mergeCell ref="F12:M12"/>
    <mergeCell ref="A19:H19"/>
    <mergeCell ref="S22:U22"/>
    <mergeCell ref="S25:U25"/>
    <mergeCell ref="P21:R21"/>
    <mergeCell ref="P22:R22"/>
    <mergeCell ref="P25:R25"/>
    <mergeCell ref="D22:N22"/>
    <mergeCell ref="A23:C23"/>
    <mergeCell ref="A24:C24"/>
    <mergeCell ref="P24:R24"/>
    <mergeCell ref="D21:N21"/>
    <mergeCell ref="D23:N23"/>
    <mergeCell ref="A21:C21"/>
    <mergeCell ref="A22:C22"/>
    <mergeCell ref="A25:C25"/>
    <mergeCell ref="S21:U21"/>
    <mergeCell ref="P23:R23"/>
    <mergeCell ref="A31:V31"/>
    <mergeCell ref="A33:V33"/>
    <mergeCell ref="A34:V34"/>
    <mergeCell ref="A35:V35"/>
    <mergeCell ref="D24:N24"/>
    <mergeCell ref="D25:N25"/>
    <mergeCell ref="S23:U23"/>
    <mergeCell ref="S24:U24"/>
    <mergeCell ref="S26:U26"/>
    <mergeCell ref="S27:U27"/>
    <mergeCell ref="A32:T32"/>
    <mergeCell ref="A27:C27"/>
    <mergeCell ref="P27:R27"/>
    <mergeCell ref="D27:N27"/>
    <mergeCell ref="A26:C26"/>
    <mergeCell ref="A53:T53"/>
    <mergeCell ref="A28:C28"/>
    <mergeCell ref="D28:N28"/>
    <mergeCell ref="P28:R28"/>
    <mergeCell ref="S28:U28"/>
    <mergeCell ref="A50:T50"/>
    <mergeCell ref="A51:T51"/>
    <mergeCell ref="A52:T52"/>
    <mergeCell ref="A40:J40"/>
    <mergeCell ref="A43:L43"/>
    <mergeCell ref="A47:L47"/>
    <mergeCell ref="A49:O49"/>
    <mergeCell ref="H38:L38"/>
    <mergeCell ref="A38:G38"/>
    <mergeCell ref="U32:V32"/>
    <mergeCell ref="S29:U29"/>
    <mergeCell ref="P26:R26"/>
    <mergeCell ref="D26:N26"/>
    <mergeCell ref="A29:C29"/>
    <mergeCell ref="D29:N29"/>
    <mergeCell ref="P29:R29"/>
    <mergeCell ref="P30:R30"/>
    <mergeCell ref="A30:C30"/>
    <mergeCell ref="D30:N30"/>
    <mergeCell ref="S30:U30"/>
    <mergeCell ref="Q5:T5"/>
    <mergeCell ref="Q7:T7"/>
    <mergeCell ref="Q8:T8"/>
    <mergeCell ref="Q9:T11"/>
    <mergeCell ref="Q12:T12"/>
    <mergeCell ref="Q14:T14"/>
    <mergeCell ref="A5:D5"/>
    <mergeCell ref="A7:D7"/>
    <mergeCell ref="A8:D8"/>
    <mergeCell ref="A9:D11"/>
    <mergeCell ref="A12:D12"/>
    <mergeCell ref="A14:D14"/>
  </mergeCells>
  <pageMargins left="0.7" right="0.7" top="0.75" bottom="0.75" header="0.3" footer="0.3"/>
  <pageSetup paperSize="9" scale="20" fitToHeight="0" orientation="portrait" r:id="rId1"/>
  <rowBreaks count="1" manualBreakCount="1">
    <brk id="54" max="17" man="1"/>
  </rowBreaks>
  <colBreaks count="1" manualBreakCount="1"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0000</vt:lpstr>
      <vt:lpstr>'0000'!Print_Area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Lakmini</dc:creator>
  <cp:keywords/>
  <dc:description/>
  <cp:lastModifiedBy>Fr Carlin</cp:lastModifiedBy>
  <cp:revision/>
  <cp:lastPrinted>2026-08-13T05:45:37Z</cp:lastPrinted>
  <dcterms:created xsi:type="dcterms:W3CDTF">2026-06-25T11:23:43Z</dcterms:created>
  <dcterms:modified xsi:type="dcterms:W3CDTF">2026-08-18T18:13:08Z</dcterms:modified>
  <cp:category/>
  <cp:contentStatus/>
</cp:coreProperties>
</file>