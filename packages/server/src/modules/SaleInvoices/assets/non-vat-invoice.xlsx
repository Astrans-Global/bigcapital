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sahan\Desktop\Other\Projects\Astrans Global DMS\resources\"/>
    </mc:Choice>
  </mc:AlternateContent>
  <xr:revisionPtr revIDLastSave="0" documentId="13_ncr:1_{E370E7E6-7DE4-434D-94BD-7DA49247FE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00" sheetId="1" r:id="rId1"/>
  </sheets>
  <definedNames>
    <definedName name="_xlnm.Print_Area" localSheetId="0">'0000'!$A$1:$X$52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2" i="1" l="1"/>
  <c r="V24" i="1"/>
  <c r="X24" i="1" s="1"/>
  <c r="V25" i="1"/>
  <c r="X25" i="1" s="1"/>
  <c r="V26" i="1"/>
  <c r="X26" i="1" s="1"/>
  <c r="V27" i="1"/>
  <c r="X27" i="1" s="1"/>
  <c r="V28" i="1"/>
  <c r="X28" i="1" s="1"/>
  <c r="V29" i="1"/>
  <c r="X29" i="1" s="1"/>
  <c r="V30" i="1"/>
  <c r="X30" i="1" s="1"/>
  <c r="V22" i="1"/>
  <c r="X22" i="1" s="1"/>
  <c r="X31" i="1" s="1"/>
  <c r="X33" i="1" s="1"/>
  <c r="V23" i="1"/>
  <c r="X23" i="1" s="1"/>
</calcChain>
</file>

<file path=xl/sharedStrings.xml><?xml version="1.0" encoding="utf-8"?>
<sst xmlns="http://schemas.openxmlformats.org/spreadsheetml/2006/main" count="93" uniqueCount="62">
  <si>
    <t>Date of Invoice                   :</t>
  </si>
  <si>
    <t>Reference</t>
  </si>
  <si>
    <t xml:space="preserve"> Description of Goods or Services</t>
  </si>
  <si>
    <t>Quantity</t>
  </si>
  <si>
    <t>Unit Price</t>
  </si>
  <si>
    <t>Sub Total (Rs.)</t>
  </si>
  <si>
    <t>Mode of Payment                   :</t>
  </si>
  <si>
    <t>Notes</t>
  </si>
  <si>
    <t>YYMMM_ASTRANSQQ_XXXXX</t>
  </si>
  <si>
    <t>MM/ DD / YYYY</t>
  </si>
  <si>
    <t>MM / DD / YYYY [SAME AS DATE OF INVOICE]</t>
  </si>
  <si>
    <t>[WAREHOUSE NAME]</t>
  </si>
  <si>
    <t>[CUSTOMER COMPANY NAME]</t>
  </si>
  <si>
    <t>[IF HAVE , PHONE NUMBER 1]</t>
  </si>
  <si>
    <t>[COMPANY PHONE NUMBER]</t>
  </si>
  <si>
    <t>MM / DD / YYYY [45 DAYS FROM INVOICE DATE]</t>
  </si>
  <si>
    <t>Discount %</t>
  </si>
  <si>
    <t>[COMPANY TIN NUMBER]</t>
  </si>
  <si>
    <t>[COMPANY NAME]</t>
  </si>
  <si>
    <t>[COMPANY ADDRESS LINE 1]</t>
  </si>
  <si>
    <t>[COMPANY ADDRESS LINE 2]</t>
  </si>
  <si>
    <t>[COMPANY ADDRESS LINE 3]</t>
  </si>
  <si>
    <t>[CUSTOMER ADDRESS LINE 1]</t>
  </si>
  <si>
    <t>[CUSTOMER ADDRESS LINE 2]</t>
  </si>
  <si>
    <t>[CUSTOMER ADDRESS LINE 3]</t>
  </si>
  <si>
    <t>[DISCOUNT %]</t>
  </si>
  <si>
    <t>[CASH/CREDIT]</t>
  </si>
  <si>
    <t>Date of Supply            :</t>
  </si>
  <si>
    <t>[ITEM CODE]</t>
  </si>
  <si>
    <t>[ITEM DESCRIPTION]</t>
  </si>
  <si>
    <t>[QUANTITY]</t>
  </si>
  <si>
    <t xml:space="preserve"> F. Unit Price</t>
  </si>
  <si>
    <t>Above items received in good condition</t>
  </si>
  <si>
    <t>Dealer Signature and Rubber Stamp</t>
  </si>
  <si>
    <t>Approved By</t>
  </si>
  <si>
    <t xml:space="preserve">Bank Details: </t>
  </si>
  <si>
    <t>Astrans Global Pvt Ltd / Acc. No: 100070015840 / Bank: NTB - Negombo</t>
  </si>
  <si>
    <t>Astrans Global Pvt Ltd / Acc. No: 324-1-001-0-0032099  / Bank: Peoples Bank - Seeduwa</t>
  </si>
  <si>
    <t>Astrans Global Pvt Ltd / Acc. No: 085010034375 / Bank: HNB - Thalangama</t>
  </si>
  <si>
    <t>Cheque to be drawing in favor of Astrans Global pvt ltd</t>
  </si>
  <si>
    <t>LKR :</t>
  </si>
  <si>
    <t>[UNIT PRICE]</t>
  </si>
  <si>
    <t>[DISCOUNT]</t>
  </si>
  <si>
    <t>N/A</t>
  </si>
  <si>
    <t>Amount   (Rs.)</t>
  </si>
  <si>
    <t>Total Due Amount</t>
  </si>
  <si>
    <t>SALES INVOICE</t>
  </si>
  <si>
    <r>
      <rPr>
        <b/>
        <sz val="16"/>
        <color rgb="FF000000"/>
        <rFont val="Calibri"/>
        <family val="2"/>
        <scheme val="minor"/>
      </rPr>
      <t>ASTRANS GLOBAL PVT LTD</t>
    </r>
    <r>
      <rPr>
        <sz val="9"/>
        <color rgb="FF000000"/>
        <rFont val="Calibri"/>
        <family val="2"/>
        <scheme val="minor"/>
      </rPr>
      <t xml:space="preserve">
</t>
    </r>
    <r>
      <rPr>
        <sz val="9.5"/>
        <color rgb="FF000000"/>
        <rFont val="Calibri"/>
        <family val="2"/>
        <scheme val="minor"/>
      </rPr>
      <t>No 30, HPT Homes, Liyanagemulla, Seeduwa, Sri Lanka
Tel:077 182 4473
Email: info@astransglobal.com</t>
    </r>
  </si>
  <si>
    <t xml:space="preserve">Purchaser's Name       </t>
  </si>
  <si>
    <t xml:space="preserve">Purchaser's TIN            </t>
  </si>
  <si>
    <t xml:space="preserve">Telephone No.            </t>
  </si>
  <si>
    <t xml:space="preserve">Place of Supply           </t>
  </si>
  <si>
    <t>:</t>
  </si>
  <si>
    <t xml:space="preserve">Address                           </t>
  </si>
  <si>
    <t xml:space="preserve">Invoice  No.      </t>
  </si>
  <si>
    <t xml:space="preserve">Supplier's TIN               </t>
  </si>
  <si>
    <t xml:space="preserve">Supplier's Name          </t>
  </si>
  <si>
    <t xml:space="preserve">Address                        </t>
  </si>
  <si>
    <t xml:space="preserve">Narration                                     </t>
  </si>
  <si>
    <t xml:space="preserve">Invoice  Due Date                        </t>
  </si>
  <si>
    <t xml:space="preserve">Reference Number                      </t>
  </si>
  <si>
    <t xml:space="preserve">Additional Information if 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</si>
</sst>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 x14ac:knownFonts="1"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7.5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u/>
      <sz val="7.5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u/>
      <sz val="8"/>
      <color rgb="FF000000"/>
      <name val="Calibri"/>
      <family val="2"/>
      <scheme val="minor"/>
    </font>
    <font>
      <sz val="9.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2">
    <xf numFmtId="0" fontId="0" fillId="0" borderId="0" xfId="0"/>
    <xf numFmtId="0" fontId="5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43" fontId="6" fillId="0" borderId="1" xfId="0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left" vertical="top"/>
    </xf>
    <xf numFmtId="43" fontId="6" fillId="0" borderId="3" xfId="0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top"/>
    </xf>
    <xf numFmtId="0" fontId="4" fillId="0" borderId="13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43" fontId="4" fillId="0" borderId="18" xfId="1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43" fontId="4" fillId="0" borderId="18" xfId="1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4" fillId="0" borderId="29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43" fontId="6" fillId="0" borderId="18" xfId="1" applyFont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  <xf numFmtId="43" fontId="6" fillId="0" borderId="24" xfId="1" applyFont="1" applyBorder="1" applyAlignment="1">
      <alignment horizontal="center" vertical="center"/>
    </xf>
    <xf numFmtId="43" fontId="4" fillId="0" borderId="24" xfId="1" applyFont="1" applyBorder="1" applyAlignment="1">
      <alignment vertical="center"/>
    </xf>
    <xf numFmtId="43" fontId="6" fillId="0" borderId="1" xfId="0" applyNumberFormat="1" applyFont="1" applyBorder="1" applyAlignment="1">
      <alignment vertical="top"/>
    </xf>
    <xf numFmtId="43" fontId="4" fillId="0" borderId="26" xfId="1" applyFont="1" applyBorder="1" applyAlignment="1">
      <alignment horizontal="center" vertical="center"/>
    </xf>
    <xf numFmtId="43" fontId="4" fillId="0" borderId="20" xfId="1" applyFont="1" applyBorder="1" applyAlignment="1">
      <alignment vertical="top"/>
    </xf>
    <xf numFmtId="43" fontId="6" fillId="0" borderId="20" xfId="0" applyNumberFormat="1" applyFont="1" applyBorder="1" applyAlignment="1">
      <alignment vertical="top"/>
    </xf>
    <xf numFmtId="43" fontId="4" fillId="0" borderId="17" xfId="1" applyFont="1" applyBorder="1" applyAlignment="1">
      <alignment horizontal="center" vertical="center"/>
    </xf>
    <xf numFmtId="43" fontId="4" fillId="0" borderId="17" xfId="1" applyFont="1" applyBorder="1" applyAlignment="1">
      <alignment vertical="top"/>
    </xf>
    <xf numFmtId="0" fontId="6" fillId="0" borderId="11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3" fontId="4" fillId="0" borderId="18" xfId="0" applyNumberFormat="1" applyFont="1" applyBorder="1" applyAlignment="1">
      <alignment horizontal="center" vertical="center"/>
    </xf>
    <xf numFmtId="43" fontId="4" fillId="0" borderId="19" xfId="0" applyNumberFormat="1" applyFont="1" applyBorder="1" applyAlignment="1">
      <alignment horizontal="center" vertical="center"/>
    </xf>
    <xf numFmtId="43" fontId="4" fillId="0" borderId="17" xfId="0" applyNumberFormat="1" applyFont="1" applyBorder="1" applyAlignment="1">
      <alignment horizontal="center" vertical="center"/>
    </xf>
    <xf numFmtId="10" fontId="4" fillId="0" borderId="18" xfId="0" applyNumberFormat="1" applyFont="1" applyBorder="1" applyAlignment="1">
      <alignment horizontal="center" vertical="center"/>
    </xf>
    <xf numFmtId="10" fontId="4" fillId="0" borderId="19" xfId="0" applyNumberFormat="1" applyFont="1" applyBorder="1" applyAlignment="1">
      <alignment horizontal="center" vertical="center"/>
    </xf>
    <xf numFmtId="10" fontId="4" fillId="0" borderId="17" xfId="0" applyNumberFormat="1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4" fillId="0" borderId="25" xfId="0" applyFont="1" applyBorder="1" applyAlignment="1">
      <alignment horizontal="center" vertical="top" wrapText="1"/>
    </xf>
    <xf numFmtId="0" fontId="15" fillId="0" borderId="25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6" fillId="0" borderId="16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top"/>
    </xf>
    <xf numFmtId="0" fontId="6" fillId="0" borderId="22" xfId="0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center" wrapText="1"/>
    </xf>
    <xf numFmtId="0" fontId="4" fillId="0" borderId="11" xfId="0" quotePrefix="1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top"/>
    </xf>
    <xf numFmtId="0" fontId="6" fillId="0" borderId="30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8" xfId="0" applyFont="1" applyBorder="1" applyAlignment="1">
      <alignment horizontal="left" vertical="top"/>
    </xf>
    <xf numFmtId="0" fontId="6" fillId="0" borderId="6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8" fillId="0" borderId="7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</xdr:row>
      <xdr:rowOff>38099</xdr:rowOff>
    </xdr:from>
    <xdr:ext cx="7188200" cy="45719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" y="774699"/>
          <a:ext cx="7188200" cy="45719"/>
        </a:xfrm>
        <a:custGeom>
          <a:avLst/>
          <a:gdLst/>
          <a:ahLst/>
          <a:cxnLst/>
          <a:rect l="0" t="0" r="0" b="0"/>
          <a:pathLst>
            <a:path w="7200061">
              <a:moveTo>
                <a:pt x="0" y="0"/>
              </a:moveTo>
              <a:lnTo>
                <a:pt x="7200061" y="0"/>
              </a:lnTo>
            </a:path>
          </a:pathLst>
        </a:custGeom>
        <a:ln w="7200">
          <a:solidFill>
            <a:srgbClr val="878787"/>
          </a:solidFill>
          <a:prstDash val="solid"/>
        </a:ln>
      </xdr:spPr>
    </xdr:sp>
    <xdr:clientData/>
  </xdr:oneCellAnchor>
  <xdr:oneCellAnchor>
    <xdr:from>
      <xdr:col>0</xdr:col>
      <xdr:colOff>0</xdr:colOff>
      <xdr:row>50</xdr:row>
      <xdr:rowOff>114299</xdr:rowOff>
    </xdr:from>
    <xdr:ext cx="7239000" cy="144781"/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0" y="8765240"/>
          <a:ext cx="7239000" cy="144781"/>
          <a:chOff x="0" y="11148409"/>
          <a:chExt cx="7200049" cy="3594"/>
        </a:xfrm>
      </xdr:grpSpPr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797" y="11150206"/>
            <a:ext cx="2390127" cy="0"/>
          </a:xfrm>
          <a:custGeom>
            <a:avLst/>
            <a:gdLst/>
            <a:ahLst/>
            <a:cxnLst/>
            <a:rect l="0" t="0" r="0" b="0"/>
            <a:pathLst>
              <a:path w="2390127">
                <a:moveTo>
                  <a:pt x="0" y="0"/>
                </a:moveTo>
                <a:lnTo>
                  <a:pt x="2390127" y="0"/>
                </a:lnTo>
              </a:path>
            </a:pathLst>
          </a:custGeom>
          <a:ln w="3594">
            <a:solidFill>
              <a:srgbClr val="000000"/>
            </a:solidFill>
            <a:prstDash val="solid"/>
          </a:ln>
        </xdr:spPr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2395531" y="11150206"/>
            <a:ext cx="2191423" cy="0"/>
          </a:xfrm>
          <a:custGeom>
            <a:avLst/>
            <a:gdLst/>
            <a:ahLst/>
            <a:cxnLst/>
            <a:rect l="0" t="0" r="0" b="0"/>
            <a:pathLst>
              <a:path w="2191423">
                <a:moveTo>
                  <a:pt x="0" y="0"/>
                </a:moveTo>
                <a:lnTo>
                  <a:pt x="2191423" y="0"/>
                </a:lnTo>
              </a:path>
            </a:pathLst>
          </a:custGeom>
          <a:ln w="3594">
            <a:solidFill>
              <a:srgbClr val="000000"/>
            </a:solidFill>
            <a:prstDash val="solid"/>
          </a:ln>
        </xdr:spPr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4590561" y="11150206"/>
            <a:ext cx="2607691" cy="0"/>
          </a:xfrm>
          <a:custGeom>
            <a:avLst/>
            <a:gdLst/>
            <a:ahLst/>
            <a:cxnLst/>
            <a:rect l="0" t="0" r="0" b="0"/>
            <a:pathLst>
              <a:path w="2607691">
                <a:moveTo>
                  <a:pt x="0" y="0"/>
                </a:moveTo>
                <a:lnTo>
                  <a:pt x="2607691" y="0"/>
                </a:lnTo>
              </a:path>
            </a:pathLst>
          </a:custGeom>
          <a:ln w="3594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363220</xdr:colOff>
      <xdr:row>0</xdr:row>
      <xdr:rowOff>38100</xdr:rowOff>
    </xdr:from>
    <xdr:ext cx="725805" cy="737235"/>
    <xdr:pic>
      <xdr:nvPicPr>
        <xdr:cNvPr id="4" name="image1.png">
          <a:extLst>
            <a:ext uri="{FF2B5EF4-FFF2-40B4-BE49-F238E27FC236}">
              <a16:creationId xmlns:a16="http://schemas.microsoft.com/office/drawing/2014/main" id="{61F2D0F6-94B1-494E-BA32-5D2F8C0B8B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3220" y="38100"/>
          <a:ext cx="725805" cy="73723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leep Sandaruwan" id="{8689E96D-DD37-4500-B69B-5C0CC547C81B}" userId="S::dileep@envoyortus.com::418fc84f-ec83-4e56-b6b4-c1978627d36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6-07-08T04:30:49.71" personId="{8689E96D-DD37-4500-B69B-5C0CC547C81B}" id="{5AACFEF2-5ECF-49ED-B4BF-0F295BDC070F}">
    <text>Mm/dd/yyyy</text>
  </threadedComment>
  <threadedComment ref="P5" dT="2026-07-08T04:31:58.85" personId="{8689E96D-DD37-4500-B69B-5C0CC547C81B}" id="{D71A6507-87A4-4E1E-B793-ED97DB0B3C89}">
    <text>YYMMM_QQQQ_XXXXX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3"/>
  <sheetViews>
    <sheetView tabSelected="1" view="pageBreakPreview" topLeftCell="A2" zoomScale="136" zoomScaleNormal="100" zoomScaleSheetLayoutView="132" workbookViewId="0">
      <selection activeCell="S26" sqref="S26:U26"/>
    </sheetView>
  </sheetViews>
  <sheetFormatPr defaultColWidth="8.88671875" defaultRowHeight="14.4" x14ac:dyDescent="0.3"/>
  <cols>
    <col min="1" max="1" width="5.88671875" style="2" customWidth="1"/>
    <col min="2" max="2" width="1" style="2" customWidth="1"/>
    <col min="3" max="3" width="2" style="2" customWidth="1"/>
    <col min="4" max="4" width="2.88671875" style="2" customWidth="1"/>
    <col min="5" max="5" width="1.88671875" style="2" customWidth="1"/>
    <col min="6" max="7" width="1" style="2" customWidth="1"/>
    <col min="8" max="8" width="3.33203125" style="2" customWidth="1"/>
    <col min="9" max="9" width="1" style="2" customWidth="1"/>
    <col min="10" max="10" width="7.33203125" style="2" customWidth="1"/>
    <col min="11" max="11" width="4.88671875" style="2" customWidth="1"/>
    <col min="12" max="13" width="3.109375" style="2" customWidth="1"/>
    <col min="14" max="14" width="5.6640625" style="2" customWidth="1"/>
    <col min="15" max="15" width="6" style="2" customWidth="1"/>
    <col min="16" max="16" width="1.5546875" style="2" customWidth="1"/>
    <col min="17" max="17" width="1.88671875" style="2" customWidth="1"/>
    <col min="18" max="18" width="4.5546875" style="2" customWidth="1"/>
    <col min="19" max="19" width="4.33203125" style="2" customWidth="1"/>
    <col min="20" max="20" width="2.77734375" style="2" customWidth="1"/>
    <col min="21" max="21" width="1.109375" style="2" customWidth="1"/>
    <col min="22" max="22" width="7.88671875" style="2" customWidth="1"/>
    <col min="23" max="23" width="4.109375" style="2" customWidth="1"/>
    <col min="24" max="24" width="12.88671875" style="2" customWidth="1"/>
    <col min="25" max="25" width="3" style="2" customWidth="1"/>
    <col min="26" max="26" width="18.33203125" style="2" customWidth="1"/>
    <col min="27" max="16384" width="8.88671875" style="2"/>
  </cols>
  <sheetData>
    <row r="1" spans="1:26" ht="58.2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35"/>
      <c r="P1" s="119" t="s">
        <v>47</v>
      </c>
      <c r="Q1" s="119"/>
      <c r="R1" s="119"/>
      <c r="S1" s="119"/>
      <c r="T1" s="119"/>
      <c r="U1" s="119"/>
      <c r="V1" s="119"/>
      <c r="W1" s="119"/>
      <c r="X1" s="119"/>
      <c r="Y1" s="20"/>
      <c r="Z1" s="1"/>
    </row>
    <row r="2" spans="1:26" ht="6.6" customHeight="1" x14ac:dyDescent="0.3"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6" ht="28.8" customHeight="1" x14ac:dyDescent="0.3">
      <c r="A3" s="121" t="s">
        <v>46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4"/>
    </row>
    <row r="4" spans="1:26" ht="4.8" customHeight="1" thickBo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4"/>
    </row>
    <row r="5" spans="1:26" ht="15.6" customHeight="1" thickBot="1" x14ac:dyDescent="0.35">
      <c r="A5" s="81" t="s">
        <v>0</v>
      </c>
      <c r="B5" s="82"/>
      <c r="C5" s="82"/>
      <c r="D5" s="82"/>
      <c r="E5" s="53"/>
      <c r="F5" s="103" t="s">
        <v>9</v>
      </c>
      <c r="G5" s="103"/>
      <c r="H5" s="103"/>
      <c r="I5" s="103"/>
      <c r="J5" s="103"/>
      <c r="K5" s="103"/>
      <c r="L5" s="103"/>
      <c r="M5" s="104"/>
      <c r="N5" s="27"/>
      <c r="O5" s="23"/>
      <c r="P5" s="5"/>
      <c r="Q5" s="81" t="s">
        <v>54</v>
      </c>
      <c r="R5" s="82"/>
      <c r="S5" s="82"/>
      <c r="T5" s="82"/>
      <c r="U5" s="53" t="s">
        <v>52</v>
      </c>
      <c r="V5" s="114" t="s">
        <v>8</v>
      </c>
      <c r="W5" s="114"/>
      <c r="X5" s="115"/>
      <c r="Y5" s="4"/>
    </row>
    <row r="6" spans="1:26" ht="9" customHeight="1" thickBot="1" x14ac:dyDescent="0.35">
      <c r="A6" s="7"/>
      <c r="B6" s="7"/>
      <c r="C6" s="7"/>
      <c r="D6" s="7"/>
      <c r="E6" s="7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3"/>
      <c r="R6" s="3"/>
      <c r="S6" s="3"/>
      <c r="T6" s="3"/>
      <c r="U6" s="3"/>
      <c r="V6" s="3"/>
      <c r="W6" s="3"/>
      <c r="X6" s="3"/>
      <c r="Y6" s="4"/>
    </row>
    <row r="7" spans="1:26" ht="15.6" customHeight="1" x14ac:dyDescent="0.3">
      <c r="A7" s="124" t="s">
        <v>55</v>
      </c>
      <c r="B7" s="125"/>
      <c r="C7" s="125"/>
      <c r="D7" s="125"/>
      <c r="E7" s="128" t="s">
        <v>52</v>
      </c>
      <c r="F7" s="112" t="s">
        <v>17</v>
      </c>
      <c r="G7" s="112"/>
      <c r="H7" s="112"/>
      <c r="I7" s="112"/>
      <c r="J7" s="112"/>
      <c r="K7" s="112"/>
      <c r="L7" s="112"/>
      <c r="M7" s="113"/>
      <c r="N7" s="23"/>
      <c r="O7" s="23"/>
      <c r="P7" s="5"/>
      <c r="Q7" s="124" t="s">
        <v>49</v>
      </c>
      <c r="R7" s="125"/>
      <c r="S7" s="125"/>
      <c r="T7" s="125"/>
      <c r="U7" s="54" t="s">
        <v>52</v>
      </c>
      <c r="V7" s="112" t="s">
        <v>43</v>
      </c>
      <c r="W7" s="112"/>
      <c r="X7" s="113"/>
      <c r="Y7" s="4"/>
    </row>
    <row r="8" spans="1:26" ht="21.6" customHeight="1" x14ac:dyDescent="0.3">
      <c r="A8" s="101" t="s">
        <v>56</v>
      </c>
      <c r="B8" s="102"/>
      <c r="C8" s="102"/>
      <c r="D8" s="102"/>
      <c r="E8" s="126" t="s">
        <v>52</v>
      </c>
      <c r="F8" s="105" t="s">
        <v>18</v>
      </c>
      <c r="G8" s="105"/>
      <c r="H8" s="105"/>
      <c r="I8" s="105"/>
      <c r="J8" s="105"/>
      <c r="K8" s="105"/>
      <c r="L8" s="105"/>
      <c r="M8" s="106"/>
      <c r="N8" s="23"/>
      <c r="O8" s="23"/>
      <c r="P8" s="5"/>
      <c r="Q8" s="101" t="s">
        <v>48</v>
      </c>
      <c r="R8" s="102"/>
      <c r="S8" s="102"/>
      <c r="T8" s="102"/>
      <c r="U8" s="22" t="s">
        <v>52</v>
      </c>
      <c r="V8" s="116" t="s">
        <v>12</v>
      </c>
      <c r="W8" s="116"/>
      <c r="X8" s="117"/>
      <c r="Y8" s="6"/>
    </row>
    <row r="9" spans="1:26" ht="15.6" customHeight="1" x14ac:dyDescent="0.3">
      <c r="A9" s="127" t="s">
        <v>57</v>
      </c>
      <c r="B9" s="76"/>
      <c r="C9" s="76"/>
      <c r="D9" s="76"/>
      <c r="E9" s="7" t="s">
        <v>52</v>
      </c>
      <c r="F9" s="105" t="s">
        <v>19</v>
      </c>
      <c r="G9" s="105"/>
      <c r="H9" s="105"/>
      <c r="I9" s="105"/>
      <c r="J9" s="105"/>
      <c r="K9" s="105"/>
      <c r="L9" s="105"/>
      <c r="M9" s="106"/>
      <c r="N9" s="23"/>
      <c r="O9" s="23"/>
      <c r="P9" s="5"/>
      <c r="Q9" s="127" t="s">
        <v>53</v>
      </c>
      <c r="R9" s="76"/>
      <c r="S9" s="76"/>
      <c r="T9" s="76"/>
      <c r="U9" s="11" t="s">
        <v>52</v>
      </c>
      <c r="V9" s="105" t="s">
        <v>22</v>
      </c>
      <c r="W9" s="105"/>
      <c r="X9" s="106"/>
      <c r="Y9" s="4"/>
    </row>
    <row r="10" spans="1:26" ht="15.6" customHeight="1" x14ac:dyDescent="0.3">
      <c r="A10" s="127"/>
      <c r="B10" s="76"/>
      <c r="C10" s="76"/>
      <c r="D10" s="76"/>
      <c r="E10" s="7" t="s">
        <v>52</v>
      </c>
      <c r="F10" s="105" t="s">
        <v>20</v>
      </c>
      <c r="G10" s="105"/>
      <c r="H10" s="105"/>
      <c r="I10" s="105"/>
      <c r="J10" s="105"/>
      <c r="K10" s="105"/>
      <c r="L10" s="105"/>
      <c r="M10" s="106"/>
      <c r="N10" s="23"/>
      <c r="O10" s="23"/>
      <c r="P10" s="5"/>
      <c r="Q10" s="127"/>
      <c r="R10" s="76"/>
      <c r="S10" s="76"/>
      <c r="T10" s="76"/>
      <c r="U10" s="11"/>
      <c r="V10" s="105" t="s">
        <v>23</v>
      </c>
      <c r="W10" s="105"/>
      <c r="X10" s="106"/>
      <c r="Y10" s="4"/>
    </row>
    <row r="11" spans="1:26" ht="15.6" customHeight="1" x14ac:dyDescent="0.3">
      <c r="A11" s="127"/>
      <c r="B11" s="76"/>
      <c r="C11" s="76"/>
      <c r="D11" s="76"/>
      <c r="E11" s="7" t="s">
        <v>52</v>
      </c>
      <c r="F11" s="105" t="s">
        <v>21</v>
      </c>
      <c r="G11" s="105"/>
      <c r="H11" s="105"/>
      <c r="I11" s="105"/>
      <c r="J11" s="105"/>
      <c r="K11" s="105"/>
      <c r="L11" s="105"/>
      <c r="M11" s="106"/>
      <c r="N11" s="23"/>
      <c r="O11" s="23"/>
      <c r="P11" s="5"/>
      <c r="Q11" s="127"/>
      <c r="R11" s="76"/>
      <c r="S11" s="76"/>
      <c r="T11" s="76"/>
      <c r="U11" s="11"/>
      <c r="V11" s="105" t="s">
        <v>24</v>
      </c>
      <c r="W11" s="105"/>
      <c r="X11" s="106"/>
      <c r="Y11" s="4"/>
    </row>
    <row r="12" spans="1:26" ht="15.6" customHeight="1" thickBot="1" x14ac:dyDescent="0.35">
      <c r="A12" s="107" t="s">
        <v>50</v>
      </c>
      <c r="B12" s="108"/>
      <c r="C12" s="108"/>
      <c r="D12" s="108"/>
      <c r="E12" s="129" t="s">
        <v>52</v>
      </c>
      <c r="F12" s="109" t="s">
        <v>14</v>
      </c>
      <c r="G12" s="109"/>
      <c r="H12" s="109"/>
      <c r="I12" s="109"/>
      <c r="J12" s="109"/>
      <c r="K12" s="109"/>
      <c r="L12" s="109"/>
      <c r="M12" s="110"/>
      <c r="N12" s="23"/>
      <c r="O12" s="23"/>
      <c r="P12" s="5"/>
      <c r="Q12" s="107" t="s">
        <v>50</v>
      </c>
      <c r="R12" s="108"/>
      <c r="S12" s="108"/>
      <c r="T12" s="108"/>
      <c r="U12" s="52" t="s">
        <v>52</v>
      </c>
      <c r="V12" s="120" t="s">
        <v>13</v>
      </c>
      <c r="W12" s="109"/>
      <c r="X12" s="110"/>
      <c r="Y12" s="4"/>
    </row>
    <row r="13" spans="1:26" ht="7.2" customHeight="1" thickBot="1" x14ac:dyDescent="0.35">
      <c r="A13" s="7"/>
      <c r="B13" s="7"/>
      <c r="C13" s="7"/>
      <c r="D13" s="7"/>
      <c r="E13" s="7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3"/>
      <c r="R13" s="3"/>
      <c r="S13" s="3"/>
      <c r="T13" s="3"/>
      <c r="U13" s="3"/>
      <c r="V13" s="3"/>
      <c r="W13" s="3"/>
      <c r="X13" s="3"/>
      <c r="Y13" s="4"/>
    </row>
    <row r="14" spans="1:26" ht="15.6" customHeight="1" thickBot="1" x14ac:dyDescent="0.35">
      <c r="A14" s="81" t="s">
        <v>27</v>
      </c>
      <c r="B14" s="82"/>
      <c r="C14" s="82"/>
      <c r="D14" s="82"/>
      <c r="E14" s="53" t="s">
        <v>52</v>
      </c>
      <c r="F14" s="103" t="s">
        <v>10</v>
      </c>
      <c r="G14" s="103"/>
      <c r="H14" s="103"/>
      <c r="I14" s="103"/>
      <c r="J14" s="103"/>
      <c r="K14" s="103"/>
      <c r="L14" s="103"/>
      <c r="M14" s="104"/>
      <c r="N14" s="27"/>
      <c r="O14" s="34"/>
      <c r="P14" s="5"/>
      <c r="Q14" s="81" t="s">
        <v>51</v>
      </c>
      <c r="R14" s="82"/>
      <c r="S14" s="82"/>
      <c r="T14" s="82"/>
      <c r="U14" s="53" t="s">
        <v>52</v>
      </c>
      <c r="V14" s="114" t="s">
        <v>11</v>
      </c>
      <c r="W14" s="114"/>
      <c r="X14" s="115"/>
      <c r="Y14" s="4"/>
    </row>
    <row r="15" spans="1:26" ht="8.4" customHeight="1" thickBot="1" x14ac:dyDescent="0.35">
      <c r="A15" s="7"/>
      <c r="B15" s="7"/>
      <c r="C15" s="7"/>
      <c r="D15" s="7"/>
      <c r="E15" s="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3"/>
      <c r="R15" s="3"/>
      <c r="S15" s="3"/>
      <c r="T15" s="3"/>
      <c r="U15" s="3"/>
      <c r="V15" s="3"/>
      <c r="W15" s="3"/>
      <c r="X15" s="3"/>
      <c r="Y15" s="4"/>
    </row>
    <row r="16" spans="1:26" ht="15.6" customHeight="1" x14ac:dyDescent="0.3">
      <c r="A16" s="97" t="s">
        <v>61</v>
      </c>
      <c r="B16" s="98"/>
      <c r="C16" s="98"/>
      <c r="D16" s="98"/>
      <c r="E16" s="98"/>
      <c r="F16" s="98"/>
      <c r="G16" s="98"/>
      <c r="H16" s="98"/>
      <c r="I16" s="26" t="s">
        <v>52</v>
      </c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131"/>
      <c r="Y16" s="4"/>
    </row>
    <row r="17" spans="1:24" ht="14.4" customHeight="1" x14ac:dyDescent="0.3">
      <c r="A17" s="99" t="s">
        <v>60</v>
      </c>
      <c r="B17" s="100"/>
      <c r="C17" s="100"/>
      <c r="D17" s="100"/>
      <c r="E17" s="100"/>
      <c r="F17" s="100"/>
      <c r="G17" s="100"/>
      <c r="H17" s="100"/>
      <c r="I17" s="55" t="s">
        <v>52</v>
      </c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</row>
    <row r="18" spans="1:24" ht="14.4" customHeight="1" x14ac:dyDescent="0.3">
      <c r="A18" s="99" t="s">
        <v>59</v>
      </c>
      <c r="B18" s="100"/>
      <c r="C18" s="100"/>
      <c r="D18" s="100"/>
      <c r="E18" s="100"/>
      <c r="F18" s="100"/>
      <c r="G18" s="100"/>
      <c r="H18" s="100"/>
      <c r="I18" s="55" t="s">
        <v>52</v>
      </c>
      <c r="J18" s="75" t="s">
        <v>15</v>
      </c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111"/>
    </row>
    <row r="19" spans="1:24" ht="15" customHeight="1" thickBot="1" x14ac:dyDescent="0.35">
      <c r="A19" s="91" t="s">
        <v>58</v>
      </c>
      <c r="B19" s="92"/>
      <c r="C19" s="92"/>
      <c r="D19" s="92"/>
      <c r="E19" s="92"/>
      <c r="F19" s="92"/>
      <c r="G19" s="92"/>
      <c r="H19" s="92"/>
      <c r="I19" s="56" t="s">
        <v>52</v>
      </c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10"/>
    </row>
    <row r="20" spans="1:24" ht="7.2" customHeight="1" thickBot="1" x14ac:dyDescent="0.35">
      <c r="B20" s="7"/>
      <c r="C20" s="7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76"/>
      <c r="R20" s="76"/>
      <c r="S20" s="76"/>
      <c r="T20" s="76"/>
      <c r="U20" s="76"/>
      <c r="V20" s="76"/>
      <c r="W20" s="75"/>
      <c r="X20" s="75"/>
    </row>
    <row r="21" spans="1:24" ht="15" customHeight="1" x14ac:dyDescent="0.3">
      <c r="A21" s="96" t="s">
        <v>1</v>
      </c>
      <c r="B21" s="96"/>
      <c r="C21" s="96"/>
      <c r="D21" s="93" t="s">
        <v>2</v>
      </c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57" t="s">
        <v>3</v>
      </c>
      <c r="P21" s="93" t="s">
        <v>4</v>
      </c>
      <c r="Q21" s="94"/>
      <c r="R21" s="95"/>
      <c r="S21" s="93" t="s">
        <v>16</v>
      </c>
      <c r="T21" s="94"/>
      <c r="U21" s="95"/>
      <c r="V21" s="24" t="s">
        <v>31</v>
      </c>
      <c r="W21" s="122" t="s">
        <v>44</v>
      </c>
      <c r="X21" s="123"/>
    </row>
    <row r="22" spans="1:24" ht="13.8" customHeight="1" x14ac:dyDescent="0.3">
      <c r="A22" s="68" t="s">
        <v>28</v>
      </c>
      <c r="B22" s="68"/>
      <c r="C22" s="68"/>
      <c r="D22" s="69" t="s">
        <v>29</v>
      </c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25" t="s">
        <v>30</v>
      </c>
      <c r="P22" s="58" t="s">
        <v>41</v>
      </c>
      <c r="Q22" s="59"/>
      <c r="R22" s="60"/>
      <c r="S22" s="64" t="s">
        <v>42</v>
      </c>
      <c r="T22" s="65"/>
      <c r="U22" s="66"/>
      <c r="V22" s="30" t="e">
        <f>P22*(100%-S22)</f>
        <v>#VALUE!</v>
      </c>
      <c r="W22" s="44" t="s">
        <v>40</v>
      </c>
      <c r="X22" s="47" t="e">
        <f>O22*V22</f>
        <v>#VALUE!</v>
      </c>
    </row>
    <row r="23" spans="1:24" ht="13.8" customHeight="1" x14ac:dyDescent="0.3">
      <c r="A23" s="68" t="s">
        <v>28</v>
      </c>
      <c r="B23" s="68"/>
      <c r="C23" s="68"/>
      <c r="D23" s="69" t="s">
        <v>29</v>
      </c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25" t="s">
        <v>30</v>
      </c>
      <c r="P23" s="58" t="s">
        <v>41</v>
      </c>
      <c r="Q23" s="59"/>
      <c r="R23" s="60"/>
      <c r="S23" s="64" t="s">
        <v>42</v>
      </c>
      <c r="T23" s="65"/>
      <c r="U23" s="66"/>
      <c r="V23" s="30" t="e">
        <f>P23*(100%-S23)</f>
        <v>#VALUE!</v>
      </c>
      <c r="W23" s="45"/>
      <c r="X23" s="47" t="e">
        <f t="shared" ref="X23:X29" si="0">O23*V23</f>
        <v>#VALUE!</v>
      </c>
    </row>
    <row r="24" spans="1:24" ht="13.8" customHeight="1" x14ac:dyDescent="0.3">
      <c r="A24" s="68" t="s">
        <v>28</v>
      </c>
      <c r="B24" s="68"/>
      <c r="C24" s="68"/>
      <c r="D24" s="69" t="s">
        <v>29</v>
      </c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25" t="s">
        <v>30</v>
      </c>
      <c r="P24" s="58" t="s">
        <v>41</v>
      </c>
      <c r="Q24" s="59"/>
      <c r="R24" s="60"/>
      <c r="S24" s="64" t="s">
        <v>42</v>
      </c>
      <c r="T24" s="65"/>
      <c r="U24" s="66"/>
      <c r="V24" s="30" t="e">
        <f t="shared" ref="V24:V30" si="1">P24*(100%-S24)</f>
        <v>#VALUE!</v>
      </c>
      <c r="W24" s="45"/>
      <c r="X24" s="47" t="e">
        <f t="shared" si="0"/>
        <v>#VALUE!</v>
      </c>
    </row>
    <row r="25" spans="1:24" ht="13.8" customHeight="1" x14ac:dyDescent="0.3">
      <c r="A25" s="68"/>
      <c r="B25" s="68"/>
      <c r="C25" s="68"/>
      <c r="D25" s="6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36"/>
      <c r="P25" s="61"/>
      <c r="Q25" s="62"/>
      <c r="R25" s="63"/>
      <c r="S25" s="64"/>
      <c r="T25" s="65"/>
      <c r="U25" s="66"/>
      <c r="V25" s="30">
        <f t="shared" si="1"/>
        <v>0</v>
      </c>
      <c r="W25" s="45"/>
      <c r="X25" s="47">
        <f t="shared" si="0"/>
        <v>0</v>
      </c>
    </row>
    <row r="26" spans="1:24" ht="13.8" customHeight="1" x14ac:dyDescent="0.3">
      <c r="A26" s="68"/>
      <c r="B26" s="68"/>
      <c r="C26" s="69"/>
      <c r="D26" s="58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31"/>
      <c r="P26" s="63"/>
      <c r="Q26" s="67"/>
      <c r="R26" s="67"/>
      <c r="S26" s="64"/>
      <c r="T26" s="65"/>
      <c r="U26" s="66"/>
      <c r="V26" s="30">
        <f t="shared" si="1"/>
        <v>0</v>
      </c>
      <c r="W26" s="45"/>
      <c r="X26" s="47">
        <f t="shared" si="0"/>
        <v>0</v>
      </c>
    </row>
    <row r="27" spans="1:24" ht="13.8" customHeight="1" x14ac:dyDescent="0.3">
      <c r="A27" s="68"/>
      <c r="B27" s="68"/>
      <c r="C27" s="69"/>
      <c r="D27" s="58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31"/>
      <c r="P27" s="63"/>
      <c r="Q27" s="67"/>
      <c r="R27" s="67"/>
      <c r="S27" s="64"/>
      <c r="T27" s="65"/>
      <c r="U27" s="66"/>
      <c r="V27" s="30">
        <f t="shared" si="1"/>
        <v>0</v>
      </c>
      <c r="W27" s="45"/>
      <c r="X27" s="47">
        <f t="shared" si="0"/>
        <v>0</v>
      </c>
    </row>
    <row r="28" spans="1:24" ht="13.8" customHeight="1" x14ac:dyDescent="0.3">
      <c r="A28" s="58"/>
      <c r="B28" s="59"/>
      <c r="C28" s="60"/>
      <c r="D28" s="58"/>
      <c r="E28" s="59"/>
      <c r="F28" s="59"/>
      <c r="G28" s="59"/>
      <c r="H28" s="59"/>
      <c r="I28" s="59"/>
      <c r="J28" s="59"/>
      <c r="K28" s="59"/>
      <c r="L28" s="59"/>
      <c r="M28" s="59"/>
      <c r="N28" s="60"/>
      <c r="O28" s="37"/>
      <c r="P28" s="61"/>
      <c r="Q28" s="62"/>
      <c r="R28" s="63"/>
      <c r="S28" s="64"/>
      <c r="T28" s="65"/>
      <c r="U28" s="66"/>
      <c r="V28" s="30">
        <f t="shared" si="1"/>
        <v>0</v>
      </c>
      <c r="W28" s="45"/>
      <c r="X28" s="47">
        <f t="shared" si="0"/>
        <v>0</v>
      </c>
    </row>
    <row r="29" spans="1:24" ht="13.8" customHeight="1" x14ac:dyDescent="0.3">
      <c r="A29" s="58"/>
      <c r="B29" s="59"/>
      <c r="C29" s="60"/>
      <c r="D29" s="58"/>
      <c r="E29" s="59"/>
      <c r="F29" s="59"/>
      <c r="G29" s="59"/>
      <c r="H29" s="59"/>
      <c r="I29" s="59"/>
      <c r="J29" s="59"/>
      <c r="K29" s="59"/>
      <c r="L29" s="59"/>
      <c r="M29" s="59"/>
      <c r="N29" s="60"/>
      <c r="O29" s="37"/>
      <c r="P29" s="61"/>
      <c r="Q29" s="62"/>
      <c r="R29" s="63"/>
      <c r="S29" s="64"/>
      <c r="T29" s="65"/>
      <c r="U29" s="66"/>
      <c r="V29" s="30">
        <f t="shared" si="1"/>
        <v>0</v>
      </c>
      <c r="W29" s="45"/>
      <c r="X29" s="47">
        <f t="shared" si="0"/>
        <v>0</v>
      </c>
    </row>
    <row r="30" spans="1:24" ht="13.8" customHeight="1" x14ac:dyDescent="0.3">
      <c r="A30" s="68"/>
      <c r="B30" s="68"/>
      <c r="C30" s="69"/>
      <c r="D30" s="70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37"/>
      <c r="P30" s="63"/>
      <c r="Q30" s="67"/>
      <c r="R30" s="67"/>
      <c r="S30" s="64"/>
      <c r="T30" s="65"/>
      <c r="U30" s="66"/>
      <c r="V30" s="30">
        <f t="shared" si="1"/>
        <v>0</v>
      </c>
      <c r="W30" s="32"/>
      <c r="X30" s="50">
        <f>O30*V30</f>
        <v>0</v>
      </c>
    </row>
    <row r="31" spans="1:24" ht="15" customHeight="1" x14ac:dyDescent="0.3">
      <c r="A31" s="85" t="s">
        <v>5</v>
      </c>
      <c r="B31" s="86"/>
      <c r="C31" s="86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6"/>
      <c r="Q31" s="86"/>
      <c r="R31" s="86"/>
      <c r="S31" s="86"/>
      <c r="T31" s="86"/>
      <c r="U31" s="86"/>
      <c r="V31" s="88"/>
      <c r="W31" s="42" t="s">
        <v>40</v>
      </c>
      <c r="X31" s="51" t="e">
        <f>SUM(X22:X30)</f>
        <v>#VALUE!</v>
      </c>
    </row>
    <row r="32" spans="1:24" ht="12.6" customHeight="1" x14ac:dyDescent="0.3">
      <c r="A32" s="90" t="s">
        <v>16</v>
      </c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83" t="s">
        <v>25</v>
      </c>
      <c r="V32" s="84"/>
      <c r="W32" s="44" t="s">
        <v>40</v>
      </c>
      <c r="X32" s="48" t="e">
        <f>X31*U32</f>
        <v>#VALUE!</v>
      </c>
    </row>
    <row r="33" spans="1:25" ht="13.2" customHeight="1" x14ac:dyDescent="0.3">
      <c r="A33" s="85" t="s">
        <v>45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8"/>
      <c r="W33" s="44" t="s">
        <v>40</v>
      </c>
      <c r="X33" s="49" t="e">
        <f>X31-X32</f>
        <v>#VALUE!</v>
      </c>
    </row>
    <row r="34" spans="1:25" ht="3" hidden="1" customHeight="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43"/>
      <c r="X34" s="46"/>
    </row>
    <row r="35" spans="1:25" ht="5.4" customHeight="1" thickBot="1" x14ac:dyDescent="0.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12"/>
      <c r="W35" s="11"/>
      <c r="X35" s="11"/>
    </row>
    <row r="36" spans="1:25" ht="13.8" customHeight="1" thickBot="1" x14ac:dyDescent="0.35">
      <c r="A36" s="81" t="s">
        <v>6</v>
      </c>
      <c r="B36" s="82"/>
      <c r="C36" s="82"/>
      <c r="D36" s="82"/>
      <c r="E36" s="82"/>
      <c r="F36" s="82"/>
      <c r="G36" s="82"/>
      <c r="H36" s="80" t="s">
        <v>26</v>
      </c>
      <c r="I36" s="80"/>
      <c r="J36" s="80"/>
      <c r="K36" s="80"/>
      <c r="L36" s="80"/>
      <c r="M36" s="33"/>
      <c r="N36" s="33"/>
      <c r="O36" s="13"/>
      <c r="P36" s="13"/>
      <c r="Q36" s="13"/>
      <c r="R36" s="13"/>
      <c r="S36" s="13"/>
      <c r="T36" s="13"/>
      <c r="U36" s="13"/>
      <c r="V36" s="14"/>
      <c r="W36" s="15"/>
      <c r="X36" s="16"/>
    </row>
    <row r="37" spans="1:25" ht="4.8" customHeight="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12"/>
      <c r="W37" s="11"/>
      <c r="X37" s="11"/>
    </row>
    <row r="38" spans="1:25" ht="10.199999999999999" customHeight="1" x14ac:dyDescent="0.3">
      <c r="A38" s="75" t="s">
        <v>32</v>
      </c>
      <c r="B38" s="76"/>
      <c r="C38" s="76"/>
      <c r="D38" s="76"/>
      <c r="E38" s="76"/>
      <c r="F38" s="76"/>
      <c r="G38" s="76"/>
      <c r="H38" s="76"/>
      <c r="I38" s="76"/>
      <c r="J38" s="76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9"/>
      <c r="W38" s="9"/>
      <c r="X38" s="9"/>
    </row>
    <row r="39" spans="1:25" ht="14.4" customHeight="1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8"/>
      <c r="L39" s="28"/>
      <c r="M39" s="28"/>
      <c r="N39" s="28"/>
      <c r="O39" s="28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ht="30.6" customHeight="1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9"/>
      <c r="L40" s="28"/>
      <c r="M40" s="28"/>
      <c r="N40" s="28"/>
      <c r="O40" s="28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ht="10.8" customHeight="1" x14ac:dyDescent="0.3">
      <c r="A41" s="77" t="s">
        <v>33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ht="10.8" customHeight="1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ht="7.8" customHeight="1" x14ac:dyDescent="0.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ht="12" customHeight="1" x14ac:dyDescent="0.3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ht="9.6" customHeight="1" x14ac:dyDescent="0.3">
      <c r="A45" s="77" t="s">
        <v>34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ht="10.8" customHeight="1" x14ac:dyDescent="0.3">
      <c r="A46" s="39" t="s">
        <v>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s="41" customFormat="1" ht="13.8" customHeight="1" x14ac:dyDescent="0.2">
      <c r="A47" s="79" t="s">
        <v>35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spans="1:25" ht="9.6" customHeight="1" x14ac:dyDescent="0.3">
      <c r="A48" s="74" t="s">
        <v>36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17"/>
      <c r="V48" s="17"/>
      <c r="W48" s="17"/>
      <c r="X48" s="17"/>
      <c r="Y48" s="17"/>
    </row>
    <row r="49" spans="1:25" ht="9.6" customHeight="1" x14ac:dyDescent="0.3">
      <c r="A49" s="74" t="s">
        <v>37</v>
      </c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17"/>
      <c r="V49" s="17"/>
      <c r="W49" s="17"/>
      <c r="X49" s="17"/>
      <c r="Y49" s="17"/>
    </row>
    <row r="50" spans="1:25" ht="9.6" customHeight="1" x14ac:dyDescent="0.3">
      <c r="A50" s="74" t="s">
        <v>38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17"/>
      <c r="V50" s="17"/>
      <c r="W50" s="17"/>
      <c r="X50" s="17"/>
      <c r="Y50" s="17"/>
    </row>
    <row r="51" spans="1:25" ht="13.95" customHeight="1" x14ac:dyDescent="0.3">
      <c r="A51" s="72" t="s">
        <v>39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17"/>
      <c r="V51" s="17"/>
      <c r="W51" s="17"/>
      <c r="X51" s="17"/>
      <c r="Y51" s="17"/>
    </row>
    <row r="52" spans="1:25" ht="13.95" customHeight="1" x14ac:dyDescent="0.3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8"/>
    </row>
    <row r="53" spans="1:25" ht="17.7" customHeight="1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4"/>
      <c r="V53" s="4"/>
      <c r="W53" s="4"/>
      <c r="X53" s="4"/>
      <c r="Y53" s="4"/>
    </row>
  </sheetData>
  <mergeCells count="96">
    <mergeCell ref="A7:D7"/>
    <mergeCell ref="Q8:T8"/>
    <mergeCell ref="Q5:T5"/>
    <mergeCell ref="A5:D5"/>
    <mergeCell ref="A8:D8"/>
    <mergeCell ref="A52:X52"/>
    <mergeCell ref="P1:X1"/>
    <mergeCell ref="V10:X10"/>
    <mergeCell ref="V11:X11"/>
    <mergeCell ref="V12:X12"/>
    <mergeCell ref="A3:X3"/>
    <mergeCell ref="F5:M5"/>
    <mergeCell ref="V5:X5"/>
    <mergeCell ref="W21:X21"/>
    <mergeCell ref="F7:M7"/>
    <mergeCell ref="F8:M8"/>
    <mergeCell ref="V14:X14"/>
    <mergeCell ref="V8:X8"/>
    <mergeCell ref="Q9:T11"/>
    <mergeCell ref="Q12:T12"/>
    <mergeCell ref="Q14:T14"/>
    <mergeCell ref="A9:D11"/>
    <mergeCell ref="A12:D12"/>
    <mergeCell ref="A14:D14"/>
    <mergeCell ref="J19:X19"/>
    <mergeCell ref="Q20:V20"/>
    <mergeCell ref="W20:X20"/>
    <mergeCell ref="V9:X9"/>
    <mergeCell ref="V7:X7"/>
    <mergeCell ref="Q7:T7"/>
    <mergeCell ref="J16:X16"/>
    <mergeCell ref="J17:X17"/>
    <mergeCell ref="A16:H16"/>
    <mergeCell ref="A17:H17"/>
    <mergeCell ref="A18:H18"/>
    <mergeCell ref="F14:M14"/>
    <mergeCell ref="F10:M10"/>
    <mergeCell ref="F11:M11"/>
    <mergeCell ref="F12:M12"/>
    <mergeCell ref="F9:M9"/>
    <mergeCell ref="J18:X18"/>
    <mergeCell ref="A19:H19"/>
    <mergeCell ref="S22:U22"/>
    <mergeCell ref="S25:U25"/>
    <mergeCell ref="P21:R21"/>
    <mergeCell ref="P22:R22"/>
    <mergeCell ref="P25:R25"/>
    <mergeCell ref="D22:N22"/>
    <mergeCell ref="A23:C23"/>
    <mergeCell ref="A24:C24"/>
    <mergeCell ref="P24:R24"/>
    <mergeCell ref="D21:N21"/>
    <mergeCell ref="D23:N23"/>
    <mergeCell ref="A21:C21"/>
    <mergeCell ref="A22:C22"/>
    <mergeCell ref="A25:C25"/>
    <mergeCell ref="S21:U21"/>
    <mergeCell ref="P23:R23"/>
    <mergeCell ref="A31:V31"/>
    <mergeCell ref="A33:V33"/>
    <mergeCell ref="D24:N24"/>
    <mergeCell ref="D25:N25"/>
    <mergeCell ref="S23:U23"/>
    <mergeCell ref="S24:U24"/>
    <mergeCell ref="S26:U26"/>
    <mergeCell ref="S27:U27"/>
    <mergeCell ref="A32:T32"/>
    <mergeCell ref="A27:C27"/>
    <mergeCell ref="P27:R27"/>
    <mergeCell ref="D27:N27"/>
    <mergeCell ref="A26:C26"/>
    <mergeCell ref="P26:R26"/>
    <mergeCell ref="D26:N26"/>
    <mergeCell ref="A51:T51"/>
    <mergeCell ref="A28:C28"/>
    <mergeCell ref="D28:N28"/>
    <mergeCell ref="P28:R28"/>
    <mergeCell ref="S28:U28"/>
    <mergeCell ref="A48:T48"/>
    <mergeCell ref="A49:T49"/>
    <mergeCell ref="A50:T50"/>
    <mergeCell ref="A38:J38"/>
    <mergeCell ref="A41:L41"/>
    <mergeCell ref="A45:L45"/>
    <mergeCell ref="A47:O47"/>
    <mergeCell ref="H36:L36"/>
    <mergeCell ref="A36:G36"/>
    <mergeCell ref="U32:V32"/>
    <mergeCell ref="A29:C29"/>
    <mergeCell ref="D29:N29"/>
    <mergeCell ref="P29:R29"/>
    <mergeCell ref="S29:U29"/>
    <mergeCell ref="P30:R30"/>
    <mergeCell ref="A30:C30"/>
    <mergeCell ref="D30:N30"/>
    <mergeCell ref="S30:U30"/>
  </mergeCells>
  <pageMargins left="0.7" right="0.7" top="0.75" bottom="0.75" header="0.3" footer="0.3"/>
  <pageSetup paperSize="9" scale="95" fitToHeight="0" orientation="portrait" r:id="rId1"/>
  <rowBreaks count="1" manualBreakCount="1">
    <brk id="52" max="17" man="1"/>
  </rowBreaks>
  <colBreaks count="1" manualBreakCount="1">
    <brk id="2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0000</vt:lpstr>
      <vt:lpstr>'0000'!Print_Area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Lakmini</dc:creator>
  <cp:keywords/>
  <dc:description/>
  <cp:lastModifiedBy>Fr Carlin</cp:lastModifiedBy>
  <cp:revision/>
  <cp:lastPrinted>2026-08-13T05:39:00Z</cp:lastPrinted>
  <dcterms:created xsi:type="dcterms:W3CDTF">2026-06-25T11:23:43Z</dcterms:created>
  <dcterms:modified xsi:type="dcterms:W3CDTF">2026-08-13T05:39:51Z</dcterms:modified>
  <cp:category/>
  <cp:contentStatus/>
</cp:coreProperties>
</file>